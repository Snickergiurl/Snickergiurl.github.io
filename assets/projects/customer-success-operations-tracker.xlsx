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c0702ec1a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a5fd96a58a7e492e"/>
    <x:sheet xmlns:r="http://schemas.openxmlformats.org/officeDocument/2006/relationships" name="Request Tracker" sheetId="2" r:id="Rdd374634ec1747f1"/>
    <x:sheet xmlns:r="http://schemas.openxmlformats.org/officeDocument/2006/relationships" name="SLA &amp; Priority" sheetId="3" r:id="R7f5d687ef9f14390"/>
    <x:sheet xmlns:r="http://schemas.openxmlformats.org/officeDocument/2006/relationships" name="Root Cause Analysis" sheetId="4" r:id="R5c12c6cd663f4d2c"/>
    <x:sheet xmlns:r="http://schemas.openxmlformats.org/officeDocument/2006/relationships" name="Data Dictionary &amp; Use" sheetId="5" r:id="Rc050952bf9ce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yyyy-mm-dd hh:mm"/>
    <x:numFmt numFmtId="202" formatCode="0.0"/>
    <x:numFmt numFmtId="203" formatCode="0.00\ &quot;hrs&quot;"/>
    <x:numFmt numFmtId="204" formatCode="0.0\ &quot;biz hrs&quot;"/>
    <x:numFmt numFmtId="205" formatCode="0%"/>
    <x:numFmt numFmtId="206" formatCode="0"/>
    <x:numFmt numFmtId="207" formatCode="0.00\ &quot;/ 5&quot;"/>
  </x:numFmts>
  <x:fonts count="16">
    <x:font>
      <x:sz val="11"/>
      <x:name val="Carlito"/>
    </x:font>
    <x:font>
      <x:b/>
      <x:sz val="18"/>
      <x:color rgb="FFFFFFFF"/>
      <x:name val="Aptos Display"/>
    </x:font>
    <x:font>
      <x:i/>
      <x:sz val="9"/>
      <x:color rgb="FF0F615E"/>
      <x:name val="Aptos"/>
    </x:font>
    <x:font>
      <x:b/>
      <x:sz val="11"/>
      <x:color rgb="FFFFFFFF"/>
      <x:name val="Aptos"/>
    </x:font>
    <x:font>
      <x:b/>
      <x:sz val="9"/>
      <x:color rgb="FFFFFFFF"/>
      <x:name val="Aptos"/>
    </x:font>
    <x:font>
      <x:sz val="9"/>
      <x:color rgb="FF243447"/>
      <x:name val="Aptos"/>
    </x:font>
    <x:font>
      <x:b/>
      <x:sz val="9"/>
      <x:color rgb="FFC94F4F"/>
      <x:name val="Aptos"/>
    </x:font>
    <x:font>
      <x:b/>
      <x:sz val="9"/>
      <x:color rgb="FF8A5A00"/>
      <x:name val="Aptos"/>
    </x:font>
    <x:font>
      <x:b/>
      <x:sz val="9"/>
      <x:color rgb="FF17324D"/>
      <x:name val="Aptos"/>
    </x:font>
    <x:font>
      <x:b/>
      <x:sz val="9"/>
      <x:color rgb="FF647482"/>
      <x:name val="Aptos"/>
    </x:font>
    <x:font>
      <x:i/>
      <x:sz val="9"/>
      <x:color rgb="FF7A5200"/>
      <x:name val="Carlito"/>
    </x:font>
    <x:font>
      <x:i/>
      <x:sz val="9"/>
      <x:color rgb="FF647482"/>
      <x:name val="Carlito"/>
    </x:font>
    <x:font>
      <x:b/>
      <x:sz val="8"/>
      <x:color rgb="FFFFFFFF"/>
      <x:name val="Carlito"/>
    </x:font>
    <x:font>
      <x:b/>
      <x:sz val="18"/>
      <x:color rgb="FF17324D"/>
      <x:name val="Carlito"/>
    </x:font>
    <x:font>
      <x:b/>
      <x:sz val="11"/>
      <x:color rgb="FF17324D"/>
      <x:name val="Carlito"/>
    </x:font>
    <x:font>
      <x:i/>
      <x:sz val="9"/>
      <x:color rgb="FF0F615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F4F3"/>
      </x:patternFill>
    </x:fill>
    <x:fill>
      <x:patternFill patternType="solid">
        <x:fgColor rgb="FF137C78"/>
      </x:patternFill>
    </x:fill>
    <x:fill>
      <x:patternFill patternType="solid">
        <x:fgColor rgb="FFFDECEC"/>
      </x:patternFill>
    </x:fill>
    <x:fill>
      <x:patternFill patternType="solid">
        <x:fgColor rgb="FFFFF4DD"/>
      </x:patternFill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</x:fills>
  <x:borders count="19">
    <x:border/>
    <x:border>
      <x:left style="thin">
        <x:color rgb="FFD8E0E6"/>
      </x:left>
      <x:right style="thin">
        <x:color rgb="FFD8E0E6"/>
      </x:right>
      <x:top style="thin">
        <x:color rgb="FFD8E0E6"/>
      </x:top>
      <x:bottom style="thin">
        <x:color rgb="FFD8E0E6"/>
      </x:bottom>
    </x:border>
    <x:border>
      <x:bottom style="thin">
        <x:color rgb="FFD8E0E6"/>
      </x:bottom>
    </x:border>
    <x:border>
      <x:top style="thin">
        <x:color rgb="FFD8E0E6"/>
      </x:top>
      <x:bottom style="thin">
        <x:color rgb="FFD8E0E6"/>
      </x:bottom>
    </x:border>
    <x:border>
      <x:top style="thin">
        <x:color rgb="FFD8E0E6"/>
      </x:top>
    </x:border>
    <x:border>
      <x:left style="thin">
        <x:color rgb="FFD8E0E6"/>
      </x:left>
      <x:top style="thin">
        <x:color rgb="FFD8E0E6"/>
      </x:top>
    </x:border>
    <x:border>
      <x:right style="thin">
        <x:color rgb="FFD8E0E6"/>
      </x:right>
      <x:top style="thin">
        <x:color rgb="FFD8E0E6"/>
      </x:top>
    </x:border>
    <x:border>
      <x:left style="thin">
        <x:color rgb="FFD8E0E6"/>
      </x:left>
    </x:border>
    <x:border>
      <x:right style="thin">
        <x:color rgb="FFD8E0E6"/>
      </x:right>
    </x:border>
    <x:border>
      <x:left style="thin">
        <x:color rgb="FFD8E0E6"/>
      </x:left>
      <x:bottom style="thin">
        <x:color rgb="FFD8E0E6"/>
      </x:bottom>
    </x:border>
    <x:border>
      <x:right style="thin">
        <x:color rgb="FFD8E0E6"/>
      </x:right>
      <x:bottom style="thin">
        <x:color rgb="FFD8E0E6"/>
      </x:bottom>
    </x:border>
    <x:border>
      <x:left style="thin">
        <x:color rgb="FF137C78"/>
      </x:left>
      <x:top style="thin">
        <x:color rgb="FF137C78"/>
      </x:top>
    </x:border>
    <x:border>
      <x:top style="thin">
        <x:color rgb="FF137C78"/>
      </x:top>
    </x:border>
    <x:border>
      <x:right style="thin">
        <x:color rgb="FF137C78"/>
      </x:right>
      <x:top style="thin">
        <x:color rgb="FF137C78"/>
      </x:top>
    </x:border>
    <x:border>
      <x:left style="thin">
        <x:color rgb="FF137C78"/>
      </x:left>
    </x:border>
    <x:border>
      <x:right style="thin">
        <x:color rgb="FF137C78"/>
      </x:right>
    </x:border>
    <x:border>
      <x:left style="thin">
        <x:color rgb="FF137C78"/>
      </x:left>
      <x:bottom style="thin">
        <x:color rgb="FF137C78"/>
      </x:bottom>
    </x:border>
    <x:border>
      <x:bottom style="thin">
        <x:color rgb="FF137C78"/>
      </x:bottom>
    </x:border>
    <x:border>
      <x:right style="thin">
        <x:color rgb="FF137C78"/>
      </x:right>
      <x:bottom style="thin">
        <x:color rgb="FF137C78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horizont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5" xfId="0" applyNumberFormat="1" applyFont="1" applyFill="1" applyBorder="1"/>
    <x:xf numFmtId="0" fontId="13" fillId="9" borderId="6" xfId="0" applyNumberFormat="1" applyFont="1" applyFill="1" applyBorder="1"/>
    <x:xf numFmtId="0" fontId="13" fillId="9" borderId="7" xfId="0" applyNumberFormat="1" applyFont="1" applyFill="1" applyBorder="1"/>
    <x:xf numFmtId="0" fontId="13" fillId="9" borderId="8" xfId="0" applyNumberFormat="1" applyFont="1" applyFill="1" applyBorder="1"/>
    <x:xf numFmtId="0" fontId="13" fillId="9" borderId="9" xfId="0" applyNumberFormat="1" applyFont="1" applyFill="1" applyBorder="1"/>
    <x:xf numFmtId="0" fontId="13" fillId="9" borderId="10" xfId="0" applyNumberFormat="1" applyFont="1" applyFill="1" applyBorder="1"/>
    <x:xf numFmtId="0" fontId="13" fillId="9" borderId="5" xfId="0" applyNumberFormat="1" applyFont="1" applyFill="1" applyBorder="1" applyAlignment="1">
      <x:alignment horizontal="center"/>
    </x:xf>
    <x:xf numFmtId="0" fontId="13" fillId="9" borderId="6" xfId="0" applyNumberFormat="1" applyFont="1" applyFill="1" applyBorder="1" applyAlignment="1">
      <x:alignment horizontal="center"/>
    </x:xf>
    <x:xf numFmtId="0" fontId="13" fillId="9" borderId="7" xfId="0" applyNumberFormat="1" applyFont="1" applyFill="1" applyBorder="1" applyAlignment="1">
      <x:alignment horizontal="center"/>
    </x:xf>
    <x:xf numFmtId="0" fontId="13" fillId="9" borderId="8" xfId="0" applyNumberFormat="1" applyFont="1" applyFill="1" applyBorder="1" applyAlignment="1">
      <x:alignment horizontal="center"/>
    </x:xf>
    <x:xf numFmtId="0" fontId="13" fillId="9" borderId="9" xfId="0" applyNumberFormat="1" applyFont="1" applyFill="1" applyBorder="1" applyAlignment="1">
      <x:alignment horizontal="center"/>
    </x:xf>
    <x:xf numFmtId="0" fontId="13" fillId="9" borderId="10" xfId="0" applyNumberFormat="1" applyFont="1" applyFill="1" applyBorder="1" applyAlignment="1">
      <x:alignment horizontal="center"/>
    </x:xf>
    <x:xf numFmtId="0" fontId="13" fillId="9" borderId="5" xfId="0" applyNumberFormat="1" applyFont="1" applyFill="1" applyBorder="1" applyAlignment="1">
      <x:alignment horizontal="center" vertical="center"/>
    </x:xf>
    <x:xf numFmtId="0" fontId="13" fillId="9" borderId="6" xfId="0" applyNumberFormat="1" applyFont="1" applyFill="1" applyBorder="1" applyAlignment="1">
      <x:alignment horizontal="center" vertical="center"/>
    </x:xf>
    <x:xf numFmtId="0" fontId="13" fillId="9" borderId="7" xfId="0" applyNumberFormat="1" applyFont="1" applyFill="1" applyBorder="1" applyAlignment="1">
      <x:alignment horizontal="center" vertical="center"/>
    </x:xf>
    <x:xf numFmtId="0" fontId="13" fillId="9" borderId="8" xfId="0" applyNumberFormat="1" applyFont="1" applyFill="1" applyBorder="1" applyAlignment="1">
      <x:alignment horizontal="center" vertical="center"/>
    </x:xf>
    <x:xf numFmtId="0" fontId="13" fillId="9" borderId="9" xfId="0" applyNumberFormat="1" applyFont="1" applyFill="1" applyBorder="1" applyAlignment="1">
      <x:alignment horizontal="center" vertical="center"/>
    </x:xf>
    <x:xf numFmtId="0" fontId="13" fillId="9" borderId="10" xfId="0" applyNumberFormat="1" applyFont="1" applyFill="1" applyBorder="1" applyAlignment="1">
      <x:alignment horizontal="center" vertical="center"/>
    </x:xf>
    <x:xf numFmtId="203" fontId="13" fillId="9" borderId="5" xfId="0" applyNumberFormat="1" applyFont="1" applyFill="1" applyBorder="1" applyAlignment="1">
      <x:alignment horizontal="center" vertical="center"/>
    </x:xf>
    <x:xf numFmtId="203" fontId="13" fillId="9" borderId="6" xfId="0" applyNumberFormat="1" applyFont="1" applyFill="1" applyBorder="1" applyAlignment="1">
      <x:alignment horizontal="center" vertical="center"/>
    </x:xf>
    <x:xf numFmtId="203" fontId="13" fillId="9" borderId="7" xfId="0" applyNumberFormat="1" applyFont="1" applyFill="1" applyBorder="1" applyAlignment="1">
      <x:alignment horizontal="center" vertical="center"/>
    </x:xf>
    <x:xf numFmtId="203" fontId="13" fillId="9" borderId="8" xfId="0" applyNumberFormat="1" applyFont="1" applyFill="1" applyBorder="1" applyAlignment="1">
      <x:alignment horizontal="center" vertical="center"/>
    </x:xf>
    <x:xf numFmtId="203" fontId="13" fillId="9" borderId="9" xfId="0" applyNumberFormat="1" applyFont="1" applyFill="1" applyBorder="1" applyAlignment="1">
      <x:alignment horizontal="center" vertical="center"/>
    </x:xf>
    <x:xf numFmtId="203" fontId="13" fillId="9" borderId="10" xfId="0" applyNumberFormat="1" applyFont="1" applyFill="1" applyBorder="1" applyAlignment="1">
      <x:alignment horizontal="center" vertical="center"/>
    </x:xf>
    <x:xf numFmtId="204" fontId="13" fillId="9" borderId="5" xfId="0" applyNumberFormat="1" applyFont="1" applyFill="1" applyBorder="1" applyAlignment="1">
      <x:alignment horizontal="center" vertical="center"/>
    </x:xf>
    <x:xf numFmtId="204" fontId="13" fillId="9" borderId="6" xfId="0" applyNumberFormat="1" applyFont="1" applyFill="1" applyBorder="1" applyAlignment="1">
      <x:alignment horizontal="center" vertical="center"/>
    </x:xf>
    <x:xf numFmtId="204" fontId="13" fillId="9" borderId="7" xfId="0" applyNumberFormat="1" applyFont="1" applyFill="1" applyBorder="1" applyAlignment="1">
      <x:alignment horizontal="center" vertical="center"/>
    </x:xf>
    <x:xf numFmtId="204" fontId="13" fillId="9" borderId="8" xfId="0" applyNumberFormat="1" applyFont="1" applyFill="1" applyBorder="1" applyAlignment="1">
      <x:alignment horizontal="center" vertical="center"/>
    </x:xf>
    <x:xf numFmtId="204" fontId="13" fillId="9" borderId="9" xfId="0" applyNumberFormat="1" applyFont="1" applyFill="1" applyBorder="1" applyAlignment="1">
      <x:alignment horizontal="center" vertical="center"/>
    </x:xf>
    <x:xf numFmtId="204" fontId="13" fillId="9" borderId="10" xfId="0" applyNumberFormat="1" applyFont="1" applyFill="1" applyBorder="1" applyAlignment="1">
      <x:alignment horizontal="center" vertical="center"/>
    </x:xf>
    <x:xf numFmtId="205" fontId="13" fillId="9" borderId="5" xfId="0" applyNumberFormat="1" applyFont="1" applyFill="1" applyBorder="1" applyAlignment="1">
      <x:alignment horizontal="center" vertical="center"/>
    </x:xf>
    <x:xf numFmtId="205" fontId="13" fillId="9" borderId="6" xfId="0" applyNumberFormat="1" applyFont="1" applyFill="1" applyBorder="1" applyAlignment="1">
      <x:alignment horizontal="center" vertical="center"/>
    </x:xf>
    <x:xf numFmtId="205" fontId="13" fillId="9" borderId="7" xfId="0" applyNumberFormat="1" applyFont="1" applyFill="1" applyBorder="1" applyAlignment="1">
      <x:alignment horizontal="center" vertical="center"/>
    </x:xf>
    <x:xf numFmtId="205" fontId="13" fillId="9" borderId="8" xfId="0" applyNumberFormat="1" applyFont="1" applyFill="1" applyBorder="1" applyAlignment="1">
      <x:alignment horizontal="center" vertical="center"/>
    </x:xf>
    <x:xf numFmtId="205" fontId="13" fillId="9" borderId="9" xfId="0" applyNumberFormat="1" applyFont="1" applyFill="1" applyBorder="1" applyAlignment="1">
      <x:alignment horizontal="center" vertical="center"/>
    </x:xf>
    <x:xf numFmtId="205" fontId="13" fillId="9" borderId="10" xfId="0" applyNumberFormat="1" applyFont="1" applyFill="1" applyBorder="1" applyAlignment="1">
      <x:alignment horizontal="center" vertical="center"/>
    </x:xf>
    <x:xf numFmtId="206" fontId="13" fillId="9" borderId="5" xfId="0" applyNumberFormat="1" applyFont="1" applyFill="1" applyBorder="1" applyAlignment="1">
      <x:alignment horizontal="center" vertical="center"/>
    </x:xf>
    <x:xf numFmtId="206" fontId="13" fillId="9" borderId="6" xfId="0" applyNumberFormat="1" applyFont="1" applyFill="1" applyBorder="1" applyAlignment="1">
      <x:alignment horizontal="center" vertical="center"/>
    </x:xf>
    <x:xf numFmtId="206" fontId="13" fillId="9" borderId="7" xfId="0" applyNumberFormat="1" applyFont="1" applyFill="1" applyBorder="1" applyAlignment="1">
      <x:alignment horizontal="center" vertical="center"/>
    </x:xf>
    <x:xf numFmtId="206" fontId="13" fillId="9" borderId="8" xfId="0" applyNumberFormat="1" applyFont="1" applyFill="1" applyBorder="1" applyAlignment="1">
      <x:alignment horizontal="center" vertical="center"/>
    </x:xf>
    <x:xf numFmtId="206" fontId="13" fillId="9" borderId="9" xfId="0" applyNumberFormat="1" applyFont="1" applyFill="1" applyBorder="1" applyAlignment="1">
      <x:alignment horizontal="center" vertical="center"/>
    </x:xf>
    <x:xf numFmtId="206" fontId="13" fillId="9" borderId="10" xfId="0" applyNumberFormat="1" applyFont="1" applyFill="1" applyBorder="1" applyAlignment="1">
      <x:alignment horizontal="center" vertical="center"/>
    </x:xf>
    <x:xf numFmtId="207" fontId="13" fillId="9" borderId="5" xfId="0" applyNumberFormat="1" applyFont="1" applyFill="1" applyBorder="1" applyAlignment="1">
      <x:alignment horizontal="center" vertical="center"/>
    </x:xf>
    <x:xf numFmtId="207" fontId="13" fillId="9" borderId="6" xfId="0" applyNumberFormat="1" applyFont="1" applyFill="1" applyBorder="1" applyAlignment="1">
      <x:alignment horizontal="center" vertical="center"/>
    </x:xf>
    <x:xf numFmtId="207" fontId="13" fillId="9" borderId="7" xfId="0" applyNumberFormat="1" applyFont="1" applyFill="1" applyBorder="1" applyAlignment="1">
      <x:alignment horizontal="center" vertical="center"/>
    </x:xf>
    <x:xf numFmtId="207" fontId="13" fillId="9" borderId="8" xfId="0" applyNumberFormat="1" applyFont="1" applyFill="1" applyBorder="1" applyAlignment="1">
      <x:alignment horizontal="center" vertical="center"/>
    </x:xf>
    <x:xf numFmtId="207" fontId="13" fillId="9" borderId="9" xfId="0" applyNumberFormat="1" applyFont="1" applyFill="1" applyBorder="1" applyAlignment="1">
      <x:alignment horizontal="center" vertical="center"/>
    </x:xf>
    <x:xf numFmtId="207" fontId="13" fillId="9" borderId="1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4" fillId="8" borderId="0" xfId="0" applyNumberFormat="1" applyFont="1" applyFill="1" applyBorder="1"/>
    <x:xf numFmtId="0" fontId="14" fillId="8" borderId="5" xfId="0" applyNumberFormat="1" applyFont="1" applyFill="1" applyBorder="1"/>
    <x:xf numFmtId="0" fontId="14" fillId="8" borderId="4" xfId="0" applyNumberFormat="1" applyFont="1" applyFill="1" applyBorder="1"/>
    <x:xf numFmtId="0" fontId="14" fillId="8" borderId="6" xfId="0" applyNumberFormat="1" applyFont="1" applyFill="1" applyBorder="1"/>
    <x:xf numFmtId="0" fontId="14" fillId="8" borderId="7" xfId="0" applyNumberFormat="1" applyFont="1" applyFill="1" applyBorder="1"/>
    <x:xf numFmtId="0" fontId="14" fillId="8" borderId="8" xfId="0" applyNumberFormat="1" applyFont="1" applyFill="1" applyBorder="1"/>
    <x:xf numFmtId="0" fontId="14" fillId="8" borderId="9" xfId="0" applyNumberFormat="1" applyFont="1" applyFill="1" applyBorder="1"/>
    <x:xf numFmtId="0" fontId="14" fillId="8" borderId="2" xfId="0" applyNumberFormat="1" applyFont="1" applyFill="1" applyBorder="1"/>
    <x:xf numFmtId="0" fontId="14" fillId="8" borderId="10" xfId="0" applyNumberFormat="1" applyFont="1" applyFill="1" applyBorder="1"/>
    <x:xf numFmtId="0" fontId="14" fillId="8" borderId="5" xfId="0" applyNumberFormat="1" applyFont="1" applyFill="1" applyBorder="1" applyAlignment="1">
      <x:alignment wrapText="1"/>
    </x:xf>
    <x:xf numFmtId="0" fontId="14" fillId="8" borderId="4" xfId="0" applyNumberFormat="1" applyFont="1" applyFill="1" applyBorder="1" applyAlignment="1">
      <x:alignment wrapText="1"/>
    </x:xf>
    <x:xf numFmtId="0" fontId="14" fillId="8" borderId="6" xfId="0" applyNumberFormat="1" applyFont="1" applyFill="1" applyBorder="1" applyAlignment="1">
      <x:alignment wrapText="1"/>
    </x:xf>
    <x:xf numFmtId="0" fontId="14" fillId="8" borderId="7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wrapText="1"/>
    </x:xf>
    <x:xf numFmtId="0" fontId="14" fillId="8" borderId="8" xfId="0" applyNumberFormat="1" applyFont="1" applyFill="1" applyBorder="1" applyAlignment="1">
      <x:alignment wrapText="1"/>
    </x:xf>
    <x:xf numFmtId="0" fontId="14" fillId="8" borderId="9" xfId="0" applyNumberFormat="1" applyFont="1" applyFill="1" applyBorder="1" applyAlignment="1">
      <x:alignment wrapText="1"/>
    </x:xf>
    <x:xf numFmtId="0" fontId="14" fillId="8" borderId="2" xfId="0" applyNumberFormat="1" applyFont="1" applyFill="1" applyBorder="1" applyAlignment="1">
      <x:alignment wrapText="1"/>
    </x:xf>
    <x:xf numFmtId="0" fontId="14" fillId="8" borderId="10" xfId="0" applyNumberFormat="1" applyFont="1" applyFill="1" applyBorder="1" applyAlignment="1">
      <x:alignment wrapText="1"/>
    </x:xf>
    <x:xf numFmtId="0" fontId="14" fillId="8" borderId="5" xfId="0" applyNumberFormat="1" applyFont="1" applyFill="1" applyBorder="1" applyAlignment="1">
      <x:alignment horizontal="center" wrapText="1"/>
    </x:xf>
    <x:xf numFmtId="0" fontId="14" fillId="8" borderId="4" xfId="0" applyNumberFormat="1" applyFont="1" applyFill="1" applyBorder="1" applyAlignment="1">
      <x:alignment horizontal="center" wrapText="1"/>
    </x:xf>
    <x:xf numFmtId="0" fontId="14" fillId="8" borderId="6" xfId="0" applyNumberFormat="1" applyFont="1" applyFill="1" applyBorder="1" applyAlignment="1">
      <x:alignment horizontal="center" wrapText="1"/>
    </x:xf>
    <x:xf numFmtId="0" fontId="14" fillId="8" borderId="7" xfId="0" applyNumberFormat="1" applyFont="1" applyFill="1" applyBorder="1" applyAlignment="1">
      <x:alignment horizontal="center" wrapText="1"/>
    </x:xf>
    <x:xf numFmtId="0" fontId="14" fillId="8" borderId="0" xfId="0" applyNumberFormat="1" applyFont="1" applyFill="1" applyBorder="1" applyAlignment="1">
      <x:alignment horizontal="center" wrapText="1"/>
    </x:xf>
    <x:xf numFmtId="0" fontId="14" fillId="8" borderId="8" xfId="0" applyNumberFormat="1" applyFont="1" applyFill="1" applyBorder="1" applyAlignment="1">
      <x:alignment horizontal="center" wrapText="1"/>
    </x:xf>
    <x:xf numFmtId="0" fontId="14" fillId="8" borderId="9" xfId="0" applyNumberFormat="1" applyFont="1" applyFill="1" applyBorder="1" applyAlignment="1">
      <x:alignment horizontal="center" wrapText="1"/>
    </x:xf>
    <x:xf numFmtId="0" fontId="14" fillId="8" borderId="2" xfId="0" applyNumberFormat="1" applyFont="1" applyFill="1" applyBorder="1" applyAlignment="1">
      <x:alignment horizontal="center" wrapText="1"/>
    </x:xf>
    <x:xf numFmtId="0" fontId="14" fillId="8" borderId="10" xfId="0" applyNumberFormat="1" applyFont="1" applyFill="1" applyBorder="1" applyAlignment="1">
      <x:alignment horizontal="center" wrapText="1"/>
    </x:xf>
    <x:xf numFmtId="0" fontId="14" fillId="8" borderId="5" xfId="0" applyNumberFormat="1" applyFont="1" applyFill="1" applyBorder="1" applyAlignment="1">
      <x:alignment horizontal="center" vertical="center" wrapText="1"/>
    </x:xf>
    <x:xf numFmtId="0" fontId="14" fillId="8" borderId="4" xfId="0" applyNumberFormat="1" applyFont="1" applyFill="1" applyBorder="1" applyAlignment="1">
      <x:alignment horizontal="center" vertical="center" wrapText="1"/>
    </x:xf>
    <x:xf numFmtId="0" fontId="14" fillId="8" borderId="6" xfId="0" applyNumberFormat="1" applyFont="1" applyFill="1" applyBorder="1" applyAlignment="1">
      <x:alignment horizontal="center" vertical="center" wrapText="1"/>
    </x:xf>
    <x:xf numFmtId="0" fontId="14" fillId="8" borderId="7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8" borderId="8" xfId="0" applyNumberFormat="1" applyFont="1" applyFill="1" applyBorder="1" applyAlignment="1">
      <x:alignment horizontal="center" vertical="center" wrapText="1"/>
    </x:xf>
    <x:xf numFmtId="0" fontId="14" fillId="8" borderId="9" xfId="0" applyNumberFormat="1" applyFont="1" applyFill="1" applyBorder="1" applyAlignment="1">
      <x:alignment horizontal="center" vertical="center" wrapText="1"/>
    </x:xf>
    <x:xf numFmtId="0" fontId="14" fillId="8" borderId="2" xfId="0" applyNumberFormat="1" applyFont="1" applyFill="1" applyBorder="1" applyAlignment="1">
      <x:alignment horizontal="center" vertical="center" wrapText="1"/>
    </x:xf>
    <x:xf numFmtId="0" fontId="14" fillId="8" borderId="10" xfId="0" applyNumberFormat="1" applyFont="1" applyFill="1" applyBorder="1" applyAlignment="1">
      <x:alignment horizontal="center" vertical="center" wrapText="1"/>
    </x:xf>
    <x:xf numFmtId="206" fontId="5" fillId="0" borderId="2" xfId="0" applyNumberFormat="1" applyFont="1" applyFill="1" applyBorder="1" applyAlignment="1">
      <x:alignment vertical="center" wrapText="1"/>
    </x:xf>
    <x:xf numFmtId="206" fontId="5" fillId="0" borderId="3" xfId="0" applyNumberFormat="1" applyFont="1" applyFill="1" applyBorder="1" applyAlignment="1">
      <x:alignment vertical="center" wrapText="1"/>
    </x:xf>
    <x:xf numFmtId="206" fontId="5" fillId="0" borderId="4" xfId="0" applyNumberFormat="1" applyFont="1" applyFill="1" applyBorder="1" applyAlignment="1">
      <x:alignment vertical="center" wrapText="1"/>
    </x:xf>
    <x:xf numFmtId="205" fontId="5" fillId="0" borderId="2" xfId="0" applyNumberFormat="1" applyFont="1" applyFill="1" applyBorder="1" applyAlignment="1">
      <x:alignment vertical="center" wrapText="1"/>
    </x:xf>
    <x:xf numFmtId="205" fontId="5" fillId="0" borderId="3" xfId="0" applyNumberFormat="1" applyFont="1" applyFill="1" applyBorder="1" applyAlignment="1">
      <x:alignment vertical="center" wrapText="1"/>
    </x:xf>
    <x:xf numFmtId="205" fontId="5" fillId="0" borderId="4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/>
    <x:xf numFmtId="0" fontId="15" fillId="3" borderId="11" xfId="0" applyNumberFormat="1" applyFont="1" applyFill="1" applyBorder="1"/>
    <x:xf numFmtId="0" fontId="15" fillId="3" borderId="12" xfId="0" applyNumberFormat="1" applyFont="1" applyFill="1" applyBorder="1"/>
    <x:xf numFmtId="0" fontId="15" fillId="3" borderId="13" xfId="0" applyNumberFormat="1" applyFont="1" applyFill="1" applyBorder="1"/>
    <x:xf numFmtId="0" fontId="15" fillId="3" borderId="14" xfId="0" applyNumberFormat="1" applyFont="1" applyFill="1" applyBorder="1"/>
    <x:xf numFmtId="0" fontId="15" fillId="3" borderId="15" xfId="0" applyNumberFormat="1" applyFont="1" applyFill="1" applyBorder="1"/>
    <x:xf numFmtId="0" fontId="15" fillId="3" borderId="16" xfId="0" applyNumberFormat="1" applyFont="1" applyFill="1" applyBorder="1"/>
    <x:xf numFmtId="0" fontId="15" fillId="3" borderId="17" xfId="0" applyNumberFormat="1" applyFont="1" applyFill="1" applyBorder="1"/>
    <x:xf numFmtId="0" fontId="15" fillId="3" borderId="18" xfId="0" applyNumberFormat="1" applyFont="1" applyFill="1" applyBorder="1"/>
    <x:xf numFmtId="0" fontId="15" fillId="3" borderId="11" xfId="0" applyNumberFormat="1" applyFont="1" applyFill="1" applyBorder="1" applyAlignment="1">
      <x:alignment wrapText="1"/>
    </x:xf>
    <x:xf numFmtId="0" fontId="15" fillId="3" borderId="12" xfId="0" applyNumberFormat="1" applyFont="1" applyFill="1" applyBorder="1" applyAlignment="1">
      <x:alignment wrapText="1"/>
    </x:xf>
    <x:xf numFmtId="0" fontId="15" fillId="3" borderId="13" xfId="0" applyNumberFormat="1" applyFont="1" applyFill="1" applyBorder="1" applyAlignment="1">
      <x:alignment wrapText="1"/>
    </x:xf>
    <x:xf numFmtId="0" fontId="15" fillId="3" borderId="14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wrapText="1"/>
    </x:xf>
    <x:xf numFmtId="0" fontId="15" fillId="3" borderId="15" xfId="0" applyNumberFormat="1" applyFont="1" applyFill="1" applyBorder="1" applyAlignment="1">
      <x:alignment wrapText="1"/>
    </x:xf>
    <x:xf numFmtId="0" fontId="15" fillId="3" borderId="16" xfId="0" applyNumberFormat="1" applyFont="1" applyFill="1" applyBorder="1" applyAlignment="1">
      <x:alignment wrapText="1"/>
    </x:xf>
    <x:xf numFmtId="0" fontId="15" fillId="3" borderId="17" xfId="0" applyNumberFormat="1" applyFont="1" applyFill="1" applyBorder="1" applyAlignment="1">
      <x:alignment wrapText="1"/>
    </x:xf>
    <x:xf numFmtId="0" fontId="15" fillId="3" borderId="18" xfId="0" applyNumberFormat="1" applyFont="1" applyFill="1" applyBorder="1" applyAlignment="1">
      <x:alignment wrapText="1"/>
    </x:xf>
    <x:xf numFmtId="0" fontId="15" fillId="3" borderId="11" xfId="0" applyNumberFormat="1" applyFont="1" applyFill="1" applyBorder="1" applyAlignment="1">
      <x:alignment vertical="center" wrapText="1"/>
    </x:xf>
    <x:xf numFmtId="0" fontId="15" fillId="3" borderId="12" xfId="0" applyNumberFormat="1" applyFont="1" applyFill="1" applyBorder="1" applyAlignment="1">
      <x:alignment vertical="center" wrapText="1"/>
    </x:xf>
    <x:xf numFmtId="0" fontId="15" fillId="3" borderId="13" xfId="0" applyNumberFormat="1" applyFont="1" applyFill="1" applyBorder="1" applyAlignment="1">
      <x:alignment vertical="center" wrapText="1"/>
    </x:xf>
    <x:xf numFmtId="0" fontId="15" fillId="3" borderId="14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0" fontId="15" fillId="3" borderId="15" xfId="0" applyNumberFormat="1" applyFont="1" applyFill="1" applyBorder="1" applyAlignment="1">
      <x:alignment vertical="center" wrapText="1"/>
    </x:xf>
    <x:xf numFmtId="0" fontId="15" fillId="3" borderId="16" xfId="0" applyNumberFormat="1" applyFont="1" applyFill="1" applyBorder="1" applyAlignment="1">
      <x:alignment vertical="center" wrapText="1"/>
    </x:xf>
    <x:xf numFmtId="0" fontId="15" fillId="3" borderId="17" xfId="0" applyNumberFormat="1" applyFont="1" applyFill="1" applyBorder="1" applyAlignment="1">
      <x:alignment vertical="center" wrapText="1"/>
    </x:xf>
    <x:xf numFmtId="0" fontId="15" fillId="3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DD"/>
        </x:patternFill>
      </x:fill>
    </x:dxf>
    <x:dxf>
      <x:font>
        <x:b/>
        <x:color rgb="FF17324D"/>
      </x:font>
      <x:fill>
        <x:patternFill patternType="solid">
          <x:bgColor rgb="FFEAF2F8"/>
        </x:patternFill>
      </x:fill>
    </x:dxf>
    <x:dxf>
      <x:font>
        <x:b/>
        <x:color rgb="FF647482"/>
      </x:font>
      <x:fill>
        <x:patternFill patternType="solid">
          <x:bgColor rgb="FFF3F6F8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8A5A00"/>
      </x:font>
      <x:fill>
        <x:patternFill patternType="solid">
          <x:bgColor rgb="FFFFF4D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8A5A00"/>
      </x:font>
      <x:fill>
        <x:patternFill patternType="solid">
          <x:bgColor rgb="FFFFF4D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8A5A00"/>
      </x:font>
      <x:fill>
        <x:patternFill patternType="solid">
          <x:bgColor rgb="FFFFF4D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8A5A00"/>
      </x:font>
      <x:fill>
        <x:patternFill patternType="solid">
          <x:bgColor rgb="FFFFF4D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8A5A00"/>
      </x:font>
      <x:fill>
        <x:patternFill patternType="solid">
          <x:bgColor rgb="FFFFF4DD"/>
        </x:patternFill>
      </x:fill>
    </x:dxf>
    <x:dxf>
      <x:font>
        <x:b/>
        <x:color rgb="FF8A5A00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427a884d348fe" /><Relationship Type="http://schemas.openxmlformats.org/officeDocument/2006/relationships/theme" Target="/xl/theme/theme1.xml" Id="Rddfbac5ada8d4468" /><Relationship Type="http://schemas.openxmlformats.org/officeDocument/2006/relationships/sharedStrings" Target="/xl/sharedStrings.xml" Id="R51268f0f47204513" /><Relationship Type="http://schemas.openxmlformats.org/officeDocument/2006/relationships/worksheet" Target="/xl/worksheets/sheet1.xml" Id="Ra5fd96a58a7e492e" /><Relationship Type="http://schemas.openxmlformats.org/officeDocument/2006/relationships/worksheet" Target="/xl/worksheets/sheet2.xml" Id="Rdd374634ec1747f1" /><Relationship Type="http://schemas.openxmlformats.org/officeDocument/2006/relationships/worksheet" Target="/xl/worksheets/sheet3.xml" Id="R7f5d687ef9f14390" /><Relationship Type="http://schemas.openxmlformats.org/officeDocument/2006/relationships/worksheet" Target="/xl/worksheets/sheet4.xml" Id="R5c12c6cd663f4d2c" /><Relationship Type="http://schemas.openxmlformats.org/officeDocument/2006/relationships/worksheet" Target="/xl/worksheets/sheet5.xml" Id="Rc050952bf9ce41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959b67fa7a4b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Fictional request volume by issue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Requests</c:v>
          </c:tx>
          <c:spPr>
            <a:solidFill xmlns:a="http://schemas.openxmlformats.org/drawingml/2006/main">
              <a:srgbClr val="137C78"/>
            </a:solidFill>
          </c:spPr>
          <c:cat>
            <c:strRef>
              <c:f>'Executive Dashboard'!$A$22:$A$26</c:f>
              <c:strCache>
                <c:ptCount val="0"/>
              </c:strCache>
            </c:strRef>
          </c:cat>
          <c:val>
            <c:numRef>
              <c:f>'Executive Dashboard'!$B$22:$B$26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959b67fa7a4b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estTrackerTable" displayName="RequestTrackerTable" ref="A5:AG25" headerRowCount="1" totalsRowCount="0" totalsRowShown="0">
  <x:autoFilter ref="A5:AG25"/>
  <x:tableColumns count="33">
    <x:tableColumn id="1" name="Ticket ID"/>
    <x:tableColumn id="2" name="Customer"/>
    <x:tableColumn id="3" name="Account Tier"/>
    <x:tableColumn id="4" name="Request Channel"/>
    <x:tableColumn id="5" name="Issue Category"/>
    <x:tableColumn id="6" name="Issue Summary"/>
    <x:tableColumn id="7" name="Priority"/>
    <x:tableColumn id="8" name="Date Submitted"/>
    <x:tableColumn id="9" name="Assigned Owner"/>
    <x:tableColumn id="10" name="Owner Team"/>
    <x:tableColumn id="11" name="Assignment Date"/>
    <x:tableColumn id="12" name="Assignment Target (hrs)"/>
    <x:tableColumn id="13" name="Assignment Time (hrs)"/>
    <x:tableColumn id="14" name="Assignment SLA Met"/>
    <x:tableColumn id="15" name="First Response Date"/>
    <x:tableColumn id="16" name="First Response Target (hrs)"/>
    <x:tableColumn id="17" name="First Response Time (hrs)"/>
    <x:tableColumn id="18" name="First Response SLA Met"/>
    <x:tableColumn id="19" name="SLA Deadline"/>
    <x:tableColumn id="20" name="Status"/>
    <x:tableColumn id="21" name="Escalation Status"/>
    <x:tableColumn id="22" name="Resolution Date"/>
    <x:tableColumn id="23" name="Resolution Time (business hrs)"/>
    <x:tableColumn id="24" name="Resolution SLA Met"/>
    <x:tableColumn id="25" name="Overall SLA Met"/>
    <x:tableColumn id="26" name="Root Cause"/>
    <x:tableColumn id="27" name="Customer Satisfaction"/>
    <x:tableColumn id="28" name="Follow-Up Required"/>
    <x:tableColumn id="29" name="Repeat Issue"/>
    <x:tableColumn id="30" name="Notes"/>
    <x:tableColumn id="31" name="Update Cadence"/>
    <x:tableColumn id="32" name="Last Customer Update"/>
    <x:tableColumn id="33" name="Required Update Compli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89e73016d348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fdfd389d6b44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1.600000381469727" hidden="0" customHeight="1">
      <x:c r="A1" s="4" t="str">
        <x:v>Customer Success Operations Dashboard</x:v>
      </x:c>
      <x:c r="B1" s="4" t="str">
        <x:v>Customer Success Operations Dashboard</x:v>
      </x:c>
      <x:c r="C1" s="4" t="str">
        <x:v>Customer Success Operations Dashboard</x:v>
      </x:c>
      <x:c r="D1" s="4" t="str">
        <x:v>Customer Success Operations Dashboard</x:v>
      </x:c>
      <x:c r="E1" s="4" t="str">
        <x:v>Customer Success Operations Dashboard</x:v>
      </x:c>
      <x:c r="F1" s="4" t="str">
        <x:v>Customer Success Operations Dashboard</x:v>
      </x:c>
      <x:c r="G1" s="4" t="str">
        <x:v>Customer Success Operations Dashboard</x:v>
      </x:c>
      <x:c r="H1" s="4" t="str">
        <x:v>Customer Success Operations Dashboard</x:v>
      </x:c>
      <x:c r="I1" s="4" t="str">
        <x:v>Customer Success Operations Dashboard</x:v>
      </x:c>
      <x:c r="J1" s="4" t="str">
        <x:v>Customer Success Operations Dashboard</x:v>
      </x:c>
      <x:c r="K1" s="4" t="str">
        <x:v>Customer Success Operations Dashboard</x:v>
      </x:c>
      <x:c r="L1" s="4" t="str">
        <x:v>Customer Success Operations Dashboard</x:v>
      </x:c>
    </x:row>
    <x:row r="2" ht="15" hidden="0" customHeight="1">
      <x:c r="A2" s="8" t="str">
        <x:v>Illustrative view calculated from 20 fictional July 2026 records. Values are sample-data indicators—not company results. Targets are directional Day-90 goals.</x:v>
      </x:c>
      <x:c r="B2" s="8" t="str">
        <x:v>Illustrative view calculated from 20 fictional July 2026 records. Values are sample-data indicators—not company results. Targets are directional Day-90 goals.</x:v>
      </x:c>
      <x:c r="C2" s="8" t="str">
        <x:v>Illustrative view calculated from 20 fictional July 2026 records. Values are sample-data indicators—not company results. Targets are directional Day-90 goals.</x:v>
      </x:c>
      <x:c r="D2" s="8" t="str">
        <x:v>Illustrative view calculated from 20 fictional July 2026 records. Values are sample-data indicators—not company results. Targets are directional Day-90 goals.</x:v>
      </x:c>
      <x:c r="E2" s="8" t="str">
        <x:v>Illustrative view calculated from 20 fictional July 2026 records. Values are sample-data indicators—not company results. Targets are directional Day-90 goals.</x:v>
      </x:c>
      <x:c r="F2" s="8" t="str">
        <x:v>Illustrative view calculated from 20 fictional July 2026 records. Values are sample-data indicators—not company results. Targets are directional Day-90 goals.</x:v>
      </x:c>
      <x:c r="G2" s="8" t="str">
        <x:v>Illustrative view calculated from 20 fictional July 2026 records. Values are sample-data indicators—not company results. Targets are directional Day-90 goals.</x:v>
      </x:c>
      <x:c r="H2" s="8" t="str">
        <x:v>Illustrative view calculated from 20 fictional July 2026 records. Values are sample-data indicators—not company results. Targets are directional Day-90 goals.</x:v>
      </x:c>
      <x:c r="I2" s="8" t="str">
        <x:v>Illustrative view calculated from 20 fictional July 2026 records. Values are sample-data indicators—not company results. Targets are directional Day-90 goals.</x:v>
      </x:c>
      <x:c r="J2" s="8" t="str">
        <x:v>Illustrative view calculated from 20 fictional July 2026 records. Values are sample-data indicators—not company results. Targets are directional Day-90 goals.</x:v>
      </x:c>
      <x:c r="K2" s="8" t="str">
        <x:v>Illustrative view calculated from 20 fictional July 2026 records. Values are sample-data indicators—not company results. Targets are directional Day-90 goals.</x:v>
      </x:c>
      <x:c r="L2" s="8" t="str">
        <x:v>Illustrative view calculated from 20 fictional July 2026 records. Values are sample-data indicators—not company results. Targets are directional Day-90 goals.</x:v>
      </x:c>
    </x:row>
    <x:row r="3"/>
    <x:row r="4" ht="15" hidden="0" customHeight="1">
      <x:c r="A4" s="54" t="str">
        <x:v>FIRST RESPONSE TIME</x:v>
      </x:c>
      <x:c r="B4" s="54" t="str">
        <x:v>FIRST RESPONSE TIME</x:v>
      </x:c>
      <x:c r="C4" s="54" t="str">
        <x:v>AVG. RESOLUTION TIME</x:v>
      </x:c>
      <x:c r="D4" s="54" t="str">
        <x:v>AVG. RESOLUTION TIME</x:v>
      </x:c>
      <x:c r="E4" s="54" t="str">
        <x:v>SLA COMPLIANCE</x:v>
      </x:c>
      <x:c r="F4" s="54" t="str">
        <x:v>SLA COMPLIANCE</x:v>
      </x:c>
      <x:c r="G4" s="54" t="str">
        <x:v>OPEN ISSUES</x:v>
      </x:c>
      <x:c r="H4" s="54" t="str">
        <x:v>OPEN ISSUES</x:v>
      </x:c>
      <x:c r="I4" s="54" t="str">
        <x:v>ESCALATION RATE</x:v>
      </x:c>
      <x:c r="J4" s="54" t="str">
        <x:v>ESCALATION RATE</x:v>
      </x:c>
      <x:c r="K4" s="54" t="str">
        <x:v>CUSTOMER SATISFACTION</x:v>
      </x:c>
      <x:c r="L4" s="54" t="str">
        <x:v>CUSTOMER SATISFACTION</x:v>
      </x:c>
    </x:row>
    <x:row r="5" ht="28" customHeight="1">
      <x:c r="A5" s="75" t="n">
        <x:f>AVERAGE('Request Tracker'!$Q$6:$Q$25)</x:f>
        <x:v>2.99000000001397</x:v>
      </x:c>
      <x:c r="B5" s="76"/>
      <x:c r="C5" s="81" t="n">
        <x:f>AVERAGE('Request Tracker'!$W$6:$W$25)</x:f>
        <x:v>21.962962962955416</x:v>
      </x:c>
      <x:c r="D5" s="82"/>
      <x:c r="E5" s="87" t="n">
        <x:f>COUNTIF('Request Tracker'!$Y$6:$Y$25,"Yes")/(COUNTIF('Request Tracker'!$Y$6:$Y$25,"Yes")+COUNTIF('Request Tracker'!$Y$6:$Y$25,"No"))</x:f>
        <x:v>0.7222222222222222</x:v>
      </x:c>
      <x:c r="F5" s="88"/>
      <x:c r="G5" s="93" t="n">
        <x:f>COUNTIF('Request Tracker'!$T$6:$T$25,"&lt;&gt;Closed")</x:f>
        <x:v>3</x:v>
      </x:c>
      <x:c r="H5" s="94"/>
      <x:c r="I5" s="87" t="n">
        <x:f>COUNTIF('Request Tracker'!$U$6:$U$25,"&lt;&gt;No")/COUNTA('Request Tracker'!$A$6:$A$25)</x:f>
        <x:v>0.5</x:v>
      </x:c>
      <x:c r="J5" s="88"/>
      <x:c r="K5" s="99" t="n">
        <x:f>AVERAGE('Request Tracker'!$AA$6:$AA$25)</x:f>
        <x:v>4.235294117647059</x:v>
      </x:c>
      <x:c r="L5" s="100"/>
    </x:row>
    <x:row r="6" ht="28" customHeight="1">
      <x:c r="A6" s="77"/>
      <x:c r="B6" s="78"/>
      <x:c r="C6" s="83"/>
      <x:c r="D6" s="84"/>
      <x:c r="E6" s="89"/>
      <x:c r="F6" s="90"/>
      <x:c r="G6" s="95"/>
      <x:c r="H6" s="96"/>
      <x:c r="I6" s="89"/>
      <x:c r="J6" s="90"/>
      <x:c r="K6" s="101"/>
      <x:c r="L6" s="102"/>
    </x:row>
    <x:row r="7" ht="28" customHeight="1">
      <x:c r="A7" s="79"/>
      <x:c r="B7" s="80"/>
      <x:c r="C7" s="85"/>
      <x:c r="D7" s="86"/>
      <x:c r="E7" s="91"/>
      <x:c r="F7" s="92"/>
      <x:c r="G7" s="97"/>
      <x:c r="H7" s="98"/>
      <x:c r="I7" s="91"/>
      <x:c r="J7" s="92"/>
      <x:c r="K7" s="103"/>
      <x:c r="L7" s="104"/>
    </x:row>
    <x:row r="8" ht="28" customHeight="1"/>
    <x:row r="9" ht="28" hidden="0" customHeight="1">
      <x:c r="A9" s="54" t="str">
        <x:v>REPEAT ISSUE RATE</x:v>
      </x:c>
      <x:c r="B9" s="54" t="str">
        <x:v>REPEAT ISSUE RATE</x:v>
      </x:c>
      <x:c r="C9" s="54" t="str">
        <x:v>OWNER + PRIORITY</x:v>
      </x:c>
      <x:c r="D9" s="54" t="str">
        <x:v>OWNER + PRIORITY</x:v>
      </x:c>
      <x:c r="E9" s="54" t="str">
        <x:v>P1/P2 UPDATE COMPLIANCE</x:v>
      </x:c>
      <x:c r="F9" s="54" t="str">
        <x:v>P1/P2 UPDATE COMPLIANCE</x:v>
      </x:c>
      <x:c r="G9" s="54" t="str">
        <x:v>ASSIGNMENT COMPLIANCE</x:v>
      </x:c>
      <x:c r="H9" s="54" t="str">
        <x:v>ASSIGNMENT COMPLIANCE</x:v>
      </x:c>
      <x:c r="I9" s="106" t="str">
        <x:v>SAMPLE CONTEXT</x:v>
      </x:c>
      <x:c r="J9" s="106" t="str">
        <x:v>SAMPLE CONTEXT</x:v>
      </x:c>
      <x:c r="K9" s="106" t="str">
        <x:v>SAMPLE CONTEXT</x:v>
      </x:c>
      <x:c r="L9" s="106" t="str">
        <x:v>SAMPLE CONTEXT</x:v>
      </x:c>
    </x:row>
    <x:row r="10" ht="28" customHeight="1">
      <x:c r="A10" s="87" t="n">
        <x:f>COUNTIF('Request Tracker'!$AC$6:$AC$25,"Yes")/COUNTA('Request Tracker'!$A$6:$A$25)</x:f>
        <x:v>0.2</x:v>
      </x:c>
      <x:c r="B10" s="88"/>
      <x:c r="C10" s="87" t="n">
        <x:f>COUNTIFS('Request Tracker'!$G$6:$G$25,"&lt;&gt;",'Request Tracker'!$I$6:$I$25,"&lt;&gt;")/COUNTA('Request Tracker'!$A$6:$A$25)</x:f>
        <x:v>1</x:v>
      </x:c>
      <x:c r="D10" s="88"/>
      <x:c r="E10" s="87" t="n">
        <x:f>(COUNTIFS('Request Tracker'!$G$6:$G$25,"P1",'Request Tracker'!$AG$6:$AG$25,"Yes")+COUNTIFS('Request Tracker'!$G$6:$G$25,"P2",'Request Tracker'!$AG$6:$AG$25,"Yes"))/(COUNTIF('Request Tracker'!$G$6:$G$25,"P1")+COUNTIF('Request Tracker'!$G$6:$G$25,"P2"))</x:f>
        <x:v>0.625</x:v>
      </x:c>
      <x:c r="F10" s="88"/>
      <x:c r="G10" s="87" t="n">
        <x:f>COUNTIF('Request Tracker'!$N$6:$N$25,"Yes")/(COUNTIF('Request Tracker'!$N$6:$N$25,"Yes")+COUNTIF('Request Tracker'!$N$6:$N$25,"No"))</x:f>
        <x:v>0.85</x:v>
      </x:c>
      <x:c r="H10" s="88"/>
      <x:c r="I10" s="134" t="str">
        <x:v>20 fictional requests
July 2026
P1 = 2 | P2 = 6 | P3 = 8 | P4 = 4</x:v>
      </x:c>
      <x:c r="J10" s="135" t="str">
        <x:v>20 fictional requests
July 2026
P1 = 2 | P2 = 6 | P3 = 8 | P4 = 4</x:v>
      </x:c>
      <x:c r="K10" s="135" t="str">
        <x:v>20 fictional requests
July 2026
P1 = 2 | P2 = 6 | P3 = 8 | P4 = 4</x:v>
      </x:c>
      <x:c r="L10" s="136" t="str">
        <x:v>20 fictional requests
July 2026
P1 = 2 | P2 = 6 | P3 = 8 | P4 = 4</x:v>
      </x:c>
    </x:row>
    <x:row r="11" ht="28" customHeight="1">
      <x:c r="A11" s="89"/>
      <x:c r="B11" s="90"/>
      <x:c r="C11" s="89"/>
      <x:c r="D11" s="90"/>
      <x:c r="E11" s="89"/>
      <x:c r="F11" s="90"/>
      <x:c r="G11" s="89"/>
      <x:c r="H11" s="90"/>
      <x:c r="I11" s="137" t="str">
        <x:v>20 fictional requests
July 2026
P1 = 2 | P2 = 6 | P3 = 8 | P4 = 4</x:v>
      </x:c>
      <x:c r="J11" s="138" t="str">
        <x:v>20 fictional requests
July 2026
P1 = 2 | P2 = 6 | P3 = 8 | P4 = 4</x:v>
      </x:c>
      <x:c r="K11" s="138" t="str">
        <x:v>20 fictional requests
July 2026
P1 = 2 | P2 = 6 | P3 = 8 | P4 = 4</x:v>
      </x:c>
      <x:c r="L11" s="139" t="str">
        <x:v>20 fictional requests
July 2026
P1 = 2 | P2 = 6 | P3 = 8 | P4 = 4</x:v>
      </x:c>
    </x:row>
    <x:row r="12" ht="28" customHeight="1">
      <x:c r="A12" s="91"/>
      <x:c r="B12" s="92"/>
      <x:c r="C12" s="91"/>
      <x:c r="D12" s="92"/>
      <x:c r="E12" s="91"/>
      <x:c r="F12" s="92"/>
      <x:c r="G12" s="91"/>
      <x:c r="H12" s="92"/>
      <x:c r="I12" s="140" t="str">
        <x:v>20 fictional requests
July 2026
P1 = 2 | P2 = 6 | P3 = 8 | P4 = 4</x:v>
      </x:c>
      <x:c r="J12" s="141" t="str">
        <x:v>20 fictional requests
July 2026
P1 = 2 | P2 = 6 | P3 = 8 | P4 = 4</x:v>
      </x:c>
      <x:c r="K12" s="141" t="str">
        <x:v>20 fictional requests
July 2026
P1 = 2 | P2 = 6 | P3 = 8 | P4 = 4</x:v>
      </x:c>
      <x:c r="L12" s="142" t="str">
        <x:v>20 fictional requests
July 2026
P1 = 2 | P2 = 6 | P3 = 8 | P4 = 4</x:v>
      </x:c>
    </x:row>
    <x:row r="13"/>
    <x:row r="14" ht="15" hidden="0" customHeight="1">
      <x:c r="A14" s="11" t="str">
        <x:v>Broader customer-outcome metrics: govern separately from ticket operations</x:v>
      </x:c>
      <x:c r="B14" s="11" t="str">
        <x:v>Broader customer-outcome metrics: govern separately from ticket operations</x:v>
      </x:c>
      <x:c r="C14" s="11" t="str">
        <x:v>Broader customer-outcome metrics: govern separately from ticket operations</x:v>
      </x:c>
      <x:c r="D14" s="11" t="str">
        <x:v>Broader customer-outcome metrics: govern separately from ticket operations</x:v>
      </x:c>
      <x:c r="E14" s="11" t="str">
        <x:v>Broader customer-outcome metrics: govern separately from ticket operations</x:v>
      </x:c>
      <x:c r="F14" s="11" t="str">
        <x:v>Broader customer-outcome metrics: govern separately from ticket operations</x:v>
      </x:c>
      <x:c r="G14" s="11" t="str">
        <x:v>Broader customer-outcome metrics: govern separately from ticket operations</x:v>
      </x:c>
      <x:c r="H14" s="11" t="str">
        <x:v>Broader customer-outcome metrics: govern separately from ticket operations</x:v>
      </x:c>
      <x:c r="I14" s="11" t="str">
        <x:v>Broader customer-outcome metrics: govern separately from ticket operations</x:v>
      </x:c>
      <x:c r="J14" s="11" t="str">
        <x:v>Broader customer-outcome metrics: govern separately from ticket operations</x:v>
      </x:c>
      <x:c r="K14" s="11" t="str">
        <x:v>Broader customer-outcome metrics: govern separately from ticket operations</x:v>
      </x:c>
      <x:c r="L14" s="11" t="str">
        <x:v>Broader customer-outcome metrics: govern separately from ticket operations</x:v>
      </x:c>
    </x:row>
    <x:row r="15" ht="15" hidden="0" customHeight="1">
      <x:c r="A15" s="16" t="str">
        <x:v>Metric</x:v>
      </x:c>
      <x:c r="B15" s="16" t="str">
        <x:v>Status</x:v>
      </x:c>
      <x:c r="C15" s="16" t="str">
        <x:v>Required source</x:v>
      </x:c>
      <x:c r="D15" s="16" t="str">
        <x:v>Leadership use</x:v>
      </x:c>
      <x:c r="E15"/>
      <x:c r="F15"/>
      <x:c r="G15"/>
      <x:c r="H15"/>
      <x:c r="I15"/>
      <x:c r="J15"/>
      <x:c r="K15"/>
      <x:c r="L15"/>
    </x:row>
    <x:row r="16" ht="21.600000381469727" hidden="0" customHeight="1">
      <x:c r="A16" s="24" t="str">
        <x:v>NPS</x:v>
      </x:c>
      <x:c r="B16" s="24" t="str">
        <x:v>Not calculated from this sample</x:v>
      </x:c>
      <x:c r="C16" s="24" t="str">
        <x:v>Periodic relationship survey</x:v>
      </x:c>
      <x:c r="D16" s="24" t="str">
        <x:v>Monitor loyalty themes; avoid attributing change to Support alone</x:v>
      </x:c>
      <x:c r="E16"/>
      <x:c r="F16"/>
      <x:c r="G16"/>
      <x:c r="H16"/>
      <x:c r="I16"/>
      <x:c r="J16"/>
      <x:c r="K16"/>
      <x:c r="L16"/>
    </x:row>
    <x:row r="17" ht="21.600000381469727" hidden="0" customHeight="1">
      <x:c r="A17" s="25" t="str">
        <x:v>Customer retention</x:v>
      </x:c>
      <x:c r="B17" s="25" t="str">
        <x:v>Not calculated from this sample</x:v>
      </x:c>
      <x:c r="C17" s="25" t="str">
        <x:v>CRM / billing cohort data</x:v>
      </x:c>
      <x:c r="D17" s="25" t="str">
        <x:v>Connect unresolved issues and churn reasons with corroborating evidence</x:v>
      </x:c>
      <x:c r="E17"/>
      <x:c r="F17"/>
      <x:c r="G17"/>
      <x:c r="H17"/>
      <x:c r="I17"/>
      <x:c r="J17"/>
      <x:c r="K17"/>
      <x:c r="L17"/>
    </x:row>
    <x:row r="18" ht="43.20000076293945" hidden="0" customHeight="1">
      <x:c r="A18" s="26" t="str">
        <x:v>Customer Health Score</x:v>
      </x:c>
      <x:c r="B18" s="26" t="str">
        <x:v>Framework only</x:v>
      </x:c>
      <x:c r="C18" s="26" t="str">
        <x:v>Usage, support burden, engagement, sentiment</x:v>
      </x:c>
      <x:c r="D18" s="26" t="str">
        <x:v>Validate weights against real renewal outcomes before use</x:v>
      </x:c>
      <x:c r="E18"/>
      <x:c r="F18"/>
      <x:c r="G18"/>
      <x:c r="H18"/>
      <x:c r="I18"/>
      <x:c r="J18"/>
      <x:c r="K18"/>
      <x:c r="L18"/>
    </x:row>
    <x:row r="19"/>
    <x:row r="20" ht="15" hidden="0" customHeight="1">
      <x:c r="A20" s="11" t="str">
        <x:v>Illustrative issue and priority mix</x:v>
      </x:c>
      <x:c r="B20" s="11" t="str">
        <x:v>Illustrative issue and priority mix</x:v>
      </x:c>
      <x:c r="C20" s="11" t="str">
        <x:v>Illustrative issue and priority mix</x:v>
      </x:c>
      <x:c r="D20" s="11" t="str">
        <x:v>Illustrative issue and priority mix</x:v>
      </x:c>
      <x:c r="E20" s="11" t="str">
        <x:v>Illustrative issue and priority mix</x:v>
      </x:c>
    </x:row>
    <x:row r="21" ht="15" hidden="0" customHeight="1">
      <x:c r="A21" s="16" t="str">
        <x:v>Issue Category</x:v>
      </x:c>
      <x:c r="B21" s="16" t="str">
        <x:v>Requests</x:v>
      </x:c>
      <x:c r="D21" s="16" t="str">
        <x:v>Priority</x:v>
      </x:c>
      <x:c r="E21" s="16" t="str">
        <x:v>Requests</x:v>
      </x:c>
    </x:row>
    <x:row r="22" ht="15" hidden="0" customHeight="1">
      <x:c r="A22" s="24" t="str">
        <x:v>Integration/API</x:v>
      </x:c>
      <x:c r="B22" s="143" t="n">
        <x:f>COUNTIF('Request Tracker'!$E$6:$E$25,A22)</x:f>
        <x:v>5</x:v>
      </x:c>
      <x:c r="D22" s="24" t="str">
        <x:v>P1</x:v>
      </x:c>
      <x:c r="E22" s="143" t="n">
        <x:f>COUNTIF('Request Tracker'!$G$6:$G$25,D22)</x:f>
        <x:v>2</x:v>
      </x:c>
    </x:row>
    <x:row r="23" ht="21.600000381469727" hidden="0" customHeight="1">
      <x:c r="A23" s="25" t="str">
        <x:v>Access &amp; Permissions</x:v>
      </x:c>
      <x:c r="B23" s="144" t="n">
        <x:f>COUNTIF('Request Tracker'!$E$6:$E$25,A23)</x:f>
        <x:v>4</x:v>
      </x:c>
      <x:c r="D23" s="25" t="str">
        <x:v>P2</x:v>
      </x:c>
      <x:c r="E23" s="144" t="n">
        <x:f>COUNTIF('Request Tracker'!$G$6:$G$25,D23)</x:f>
        <x:v>6</x:v>
      </x:c>
    </x:row>
    <x:row r="24" ht="15" hidden="0" customHeight="1">
      <x:c r="A24" s="25" t="str">
        <x:v>Billing &amp; Renewal</x:v>
      </x:c>
      <x:c r="B24" s="144" t="n">
        <x:f>COUNTIF('Request Tracker'!$E$6:$E$25,A24)</x:f>
        <x:v>4</x:v>
      </x:c>
      <x:c r="D24" s="25" t="str">
        <x:v>P3</x:v>
      </x:c>
      <x:c r="E24" s="144" t="n">
        <x:f>COUNTIF('Request Tracker'!$G$6:$G$25,D24)</x:f>
        <x:v>8</x:v>
      </x:c>
    </x:row>
    <x:row r="25" ht="15" hidden="0" customHeight="1">
      <x:c r="A25" s="25" t="str">
        <x:v>Reporting &amp; Export</x:v>
      </x:c>
      <x:c r="B25" s="144" t="n">
        <x:f>COUNTIF('Request Tracker'!$E$6:$E$25,A25)</x:f>
        <x:v>4</x:v>
      </x:c>
      <x:c r="D25" s="26" t="str">
        <x:v>P4</x:v>
      </x:c>
      <x:c r="E25" s="145" t="n">
        <x:f>COUNTIF('Request Tracker'!$G$6:$G$25,D25)</x:f>
        <x:v>4</x:v>
      </x:c>
    </x:row>
    <x:row r="26" ht="21.600000381469727" hidden="0" customHeight="1">
      <x:c r="A26" s="26" t="str">
        <x:v>Performance &amp; Availability</x:v>
      </x:c>
      <x:c r="B26" s="145" t="n">
        <x:f>COUNTIF('Request Tracker'!$E$6:$E$25,A26)</x:f>
        <x:v>3</x:v>
      </x:c>
    </x:row>
    <x:row r="27"/>
    <x:row r="28" ht="15" hidden="0" customHeight="1">
      <x:c r="A28" s="11" t="str">
        <x:v>Directional Day-90 targets</x:v>
      </x:c>
      <x:c r="B28" s="11" t="str">
        <x:v>Directional Day-90 targets</x:v>
      </x:c>
      <x:c r="C28" s="11" t="str">
        <x:v>Directional Day-90 targets</x:v>
      </x:c>
      <x:c r="D28" s="11" t="str">
        <x:v>Directional Day-90 targets</x:v>
      </x:c>
      <x:c r="E28" s="11" t="str">
        <x:v>Directional Day-90 targets</x:v>
      </x:c>
    </x:row>
    <x:row r="29" ht="15" hidden="0" customHeight="1">
      <x:c r="A29" s="16" t="str">
        <x:v>Measure</x:v>
      </x:c>
      <x:c r="B29" s="16" t="str">
        <x:v>Target</x:v>
      </x:c>
      <x:c r="C29" s="16" t="str">
        <x:v>Review cadence</x:v>
      </x:c>
      <x:c r="D29"/>
      <x:c r="E29"/>
    </x:row>
    <x:row r="30" ht="21.600000381469727" hidden="0" customHeight="1">
      <x:c r="A30" s="24" t="str">
        <x:v>Owner + priority completeness</x:v>
      </x:c>
      <x:c r="B30" s="24" t="str">
        <x:v>100%</x:v>
      </x:c>
      <x:c r="C30" s="24" t="str">
        <x:v>Daily exception queue</x:v>
      </x:c>
      <x:c r="D30"/>
      <x:c r="E30"/>
    </x:row>
    <x:row r="31" ht="21.600000381469727" hidden="0" customHeight="1">
      <x:c r="A31" s="25" t="str">
        <x:v>Overall SLA compliance</x:v>
      </x:c>
      <x:c r="B31" s="25" t="str">
        <x:v>≥90%</x:v>
      </x:c>
      <x:c r="C31" s="25" t="str">
        <x:v>Weekly</x:v>
      </x:c>
      <x:c r="D31"/>
      <x:c r="E31"/>
    </x:row>
    <x:row r="32" ht="21.600000381469727" hidden="0" customHeight="1">
      <x:c r="A32" s="25" t="str">
        <x:v>Required P1/P2 updates</x:v>
      </x:c>
      <x:c r="B32" s="25" t="str">
        <x:v>≥95%</x:v>
      </x:c>
      <x:c r="C32" s="25" t="str">
        <x:v>Daily / weekly</x:v>
      </x:c>
      <x:c r="D32"/>
      <x:c r="E32"/>
    </x:row>
    <x:row r="33" ht="15" hidden="0" customHeight="1">
      <x:c r="A33" s="25" t="str">
        <x:v>Repeat issue rate</x:v>
      </x:c>
      <x:c r="B33" s="25" t="str">
        <x:v>&lt;10%</x:v>
      </x:c>
      <x:c r="C33" s="25" t="str">
        <x:v>Weekly / monthly</x:v>
      </x:c>
      <x:c r="D33"/>
      <x:c r="E33"/>
    </x:row>
    <x:row r="34" ht="21.600000381469727" hidden="0" customHeight="1">
      <x:c r="A34" s="25" t="str">
        <x:v>Post-resolution CSAT</x:v>
      </x:c>
      <x:c r="B34" s="25" t="str">
        <x:v>≥4.5 / 5</x:v>
      </x:c>
      <x:c r="C34" s="25" t="str">
        <x:v>Weekly with response rate</x:v>
      </x:c>
      <x:c r="D34"/>
      <x:c r="E34"/>
    </x:row>
    <x:row r="35" ht="15" hidden="0" customHeight="1">
      <x:c r="A35" s="26" t="str">
        <x:v>VOC cadence</x:v>
      </x:c>
      <x:c r="B35" s="26" t="str">
        <x:v>Weekly + monthly</x:v>
      </x:c>
      <x:c r="C35" s="26" t="str">
        <x:v>Decision and action log</x:v>
      </x:c>
      <x:c r="D35"/>
      <x:c r="E35"/>
    </x:row>
  </x:sheetData>
  <x:mergeCells>
    <x:mergeCell ref="A1:L1"/>
    <x:mergeCell ref="A2:L2"/>
    <x:mergeCell ref="A4:B4"/>
    <x:mergeCell ref="A5:B7"/>
    <x:mergeCell ref="C4:D4"/>
    <x:mergeCell ref="C5:D7"/>
    <x:mergeCell ref="E4:F4"/>
    <x:mergeCell ref="E5:F7"/>
    <x:mergeCell ref="G4:H4"/>
    <x:mergeCell ref="G5:H7"/>
    <x:mergeCell ref="I4:J4"/>
    <x:mergeCell ref="I5:J7"/>
    <x:mergeCell ref="K4:L4"/>
    <x:mergeCell ref="K5:L7"/>
    <x:mergeCell ref="A9:B9"/>
    <x:mergeCell ref="A10:B12"/>
    <x:mergeCell ref="C9:D9"/>
    <x:mergeCell ref="C10:D12"/>
    <x:mergeCell ref="E9:F9"/>
    <x:mergeCell ref="E10:F12"/>
    <x:mergeCell ref="G9:H9"/>
    <x:mergeCell ref="G10:H12"/>
    <x:mergeCell ref="I9:L9"/>
    <x:mergeCell ref="I10:L12"/>
    <x:mergeCell ref="A14:L14"/>
    <x:mergeCell ref="D15:L15"/>
    <x:mergeCell ref="D16:L16"/>
    <x:mergeCell ref="D17:L17"/>
    <x:mergeCell ref="D18:L18"/>
    <x:mergeCell ref="A20:E20"/>
    <x:mergeCell ref="A28:E28"/>
    <x:mergeCell ref="C29:E29"/>
    <x:mergeCell ref="C30:E30"/>
    <x:mergeCell ref="C31:E31"/>
    <x:mergeCell ref="C32:E32"/>
    <x:mergeCell ref="C33:E33"/>
    <x:mergeCell ref="C34:E34"/>
    <x:mergeCell ref="C35:E35"/>
  </x:mergeCells>
  <x:pageMargins left="0.7" right="0.7" top="0.75" bottom="0.75" header="0.3" footer="0.3"/>
  <x:drawing xmlns:r="http://schemas.openxmlformats.org/officeDocument/2006/relationships" r:id="R5689e73016d3480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3" hidden="0" customWidth="1"/>
    <x:col min="4" max="4" width="17" hidden="0" customWidth="1"/>
    <x:col min="5" max="5" width="24" hidden="0" customWidth="1"/>
    <x:col min="6" max="6" width="38" hidden="0" customWidth="1"/>
    <x:col min="7" max="7" width="10" hidden="0" customWidth="1"/>
    <x:col min="8" max="8" width="19" hidden="0" customWidth="1"/>
    <x:col min="9" max="9" width="18" hidden="0" customWidth="1"/>
    <x:col min="10" max="10" width="17" hidden="0" customWidth="1"/>
    <x:col min="11" max="11" width="19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5" hidden="0" customWidth="1"/>
    <x:col min="17" max="17" width="15" hidden="0" customWidth="1"/>
    <x:col min="18" max="18" width="16" hidden="0" customWidth="1"/>
    <x:col min="19" max="19" width="19" hidden="0" customWidth="1"/>
    <x:col min="20" max="20" width="16" hidden="0" customWidth="1"/>
    <x:col min="21" max="21" width="15" hidden="0" customWidth="1"/>
    <x:col min="22" max="22" width="19" hidden="0" customWidth="1"/>
    <x:col min="23" max="23" width="17" hidden="0" customWidth="1"/>
    <x:col min="24" max="24" width="15" hidden="0" customWidth="1"/>
    <x:col min="25" max="25" width="14" hidden="0" customWidth="1"/>
    <x:col min="26" max="26" width="25" hidden="0" customWidth="1"/>
    <x:col min="27" max="27" width="14" hidden="0" customWidth="1"/>
    <x:col min="28" max="28" width="15" hidden="0" customWidth="1"/>
    <x:col min="29" max="29" width="12" hidden="0" customWidth="1"/>
    <x:col min="30" max="30" width="42" hidden="0" customWidth="1"/>
    <x:col min="31" max="31" width="25" hidden="0" customWidth="1"/>
    <x:col min="32" max="32" width="19" hidden="0" customWidth="1"/>
    <x:col min="33" max="33" width="18" hidden="0" customWidth="1"/>
  </x:cols>
  <x:sheetData>
    <x:row r="1" ht="34" customHeight="1">
      <x:c r="A1" s="4" t="str">
        <x:v>Customer Request Tracker</x:v>
      </x:c>
      <x:c r="B1" s="4" t="str">
        <x:v>Customer Request Tracker</x:v>
      </x:c>
      <x:c r="C1" s="4" t="str">
        <x:v>Customer Request Tracker</x:v>
      </x:c>
      <x:c r="D1" s="4" t="str">
        <x:v>Customer Request Tracker</x:v>
      </x:c>
      <x:c r="E1" s="4" t="str">
        <x:v>Customer Request Tracker</x:v>
      </x:c>
      <x:c r="F1" s="4" t="str">
        <x:v>Customer Request Tracker</x:v>
      </x:c>
      <x:c r="G1" s="4" t="str">
        <x:v>Customer Request Tracker</x:v>
      </x:c>
      <x:c r="H1" s="4" t="str">
        <x:v>Customer Request Tracker</x:v>
      </x:c>
      <x:c r="I1" s="4" t="str">
        <x:v>Customer Request Tracker</x:v>
      </x:c>
      <x:c r="J1" s="4" t="str">
        <x:v>Customer Request Tracker</x:v>
      </x:c>
      <x:c r="K1" s="4" t="str">
        <x:v>Customer Request Tracker</x:v>
      </x:c>
      <x:c r="L1" s="4" t="str">
        <x:v>Customer Request Tracker</x:v>
      </x:c>
      <x:c r="M1" s="4" t="str">
        <x:v>Customer Request Tracker</x:v>
      </x:c>
      <x:c r="N1" s="4" t="str">
        <x:v>Customer Request Tracker</x:v>
      </x:c>
      <x:c r="O1" s="4" t="str">
        <x:v>Customer Request Tracker</x:v>
      </x:c>
      <x:c r="P1" s="4" t="str">
        <x:v>Customer Request Tracker</x:v>
      </x:c>
      <x:c r="Q1" s="4" t="str">
        <x:v>Customer Request Tracker</x:v>
      </x:c>
      <x:c r="R1" s="4" t="str">
        <x:v>Customer Request Tracker</x:v>
      </x:c>
      <x:c r="S1" s="4" t="str">
        <x:v>Customer Request Tracker</x:v>
      </x:c>
      <x:c r="T1" s="4" t="str">
        <x:v>Customer Request Tracker</x:v>
      </x:c>
      <x:c r="U1" s="4" t="str">
        <x:v>Customer Request Tracker</x:v>
      </x:c>
      <x:c r="V1" s="4" t="str">
        <x:v>Customer Request Tracker</x:v>
      </x:c>
      <x:c r="W1" s="4" t="str">
        <x:v>Customer Request Tracker</x:v>
      </x:c>
      <x:c r="X1" s="4" t="str">
        <x:v>Customer Request Tracker</x:v>
      </x:c>
      <x:c r="Y1" s="4" t="str">
        <x:v>Customer Request Tracker</x:v>
      </x:c>
      <x:c r="Z1" s="4" t="str">
        <x:v>Customer Request Tracker</x:v>
      </x:c>
      <x:c r="AA1" s="4" t="str">
        <x:v>Customer Request Tracker</x:v>
      </x:c>
      <x:c r="AB1" s="4" t="str">
        <x:v>Customer Request Tracker</x:v>
      </x:c>
      <x:c r="AC1" s="4" t="str">
        <x:v>Customer Request Tracker</x:v>
      </x:c>
      <x:c r="AD1" s="4" t="str">
        <x:v>Customer Request Tracker</x:v>
      </x:c>
      <x:c r="AE1" s="4" t="str">
        <x:v>Customer Request Tracker</x:v>
      </x:c>
      <x:c r="AF1" s="4" t="str">
        <x:v>Customer Request Tracker</x:v>
      </x:c>
      <x:c r="AG1" s="4" t="str">
        <x:v>Customer Request Tracker</x:v>
      </x:c>
    </x:row>
    <x:row r="2" ht="32" customHeight="1">
      <x:c r="A2" s="8" t="str">
        <x:v>20 fictional sample records for portfolio demonstration. Input fields are editable; SLA targets, elapsed times, deadlines, and compliance results are formula-driven.</x:v>
      </x:c>
      <x:c r="B2" s="8" t="str">
        <x:v>20 fictional sample records for portfolio demonstration. Input fields are editable; SLA targets, elapsed times, deadlines, and compliance results are formula-driven.</x:v>
      </x:c>
      <x:c r="C2" s="8" t="str">
        <x:v>20 fictional sample records for portfolio demonstration. Input fields are editable; SLA targets, elapsed times, deadlines, and compliance results are formula-driven.</x:v>
      </x:c>
      <x:c r="D2" s="8" t="str">
        <x:v>20 fictional sample records for portfolio demonstration. Input fields are editable; SLA targets, elapsed times, deadlines, and compliance results are formula-driven.</x:v>
      </x:c>
      <x:c r="E2" s="8" t="str">
        <x:v>20 fictional sample records for portfolio demonstration. Input fields are editable; SLA targets, elapsed times, deadlines, and compliance results are formula-driven.</x:v>
      </x:c>
      <x:c r="F2" s="8" t="str">
        <x:v>20 fictional sample records for portfolio demonstration. Input fields are editable; SLA targets, elapsed times, deadlines, and compliance results are formula-driven.</x:v>
      </x:c>
      <x:c r="G2" s="8" t="str">
        <x:v>20 fictional sample records for portfolio demonstration. Input fields are editable; SLA targets, elapsed times, deadlines, and compliance results are formula-driven.</x:v>
      </x:c>
      <x:c r="H2" s="8" t="str">
        <x:v>20 fictional sample records for portfolio demonstration. Input fields are editable; SLA targets, elapsed times, deadlines, and compliance results are formula-driven.</x:v>
      </x:c>
      <x:c r="I2" s="8" t="str">
        <x:v>20 fictional sample records for portfolio demonstration. Input fields are editable; SLA targets, elapsed times, deadlines, and compliance results are formula-driven.</x:v>
      </x:c>
      <x:c r="J2" s="8" t="str">
        <x:v>20 fictional sample records for portfolio demonstration. Input fields are editable; SLA targets, elapsed times, deadlines, and compliance results are formula-driven.</x:v>
      </x:c>
      <x:c r="K2" s="8" t="str">
        <x:v>20 fictional sample records for portfolio demonstration. Input fields are editable; SLA targets, elapsed times, deadlines, and compliance results are formula-driven.</x:v>
      </x:c>
      <x:c r="L2" s="8" t="str">
        <x:v>20 fictional sample records for portfolio demonstration. Input fields are editable; SLA targets, elapsed times, deadlines, and compliance results are formula-driven.</x:v>
      </x:c>
      <x:c r="M2" s="8" t="str">
        <x:v>20 fictional sample records for portfolio demonstration. Input fields are editable; SLA targets, elapsed times, deadlines, and compliance results are formula-driven.</x:v>
      </x:c>
      <x:c r="N2" s="8" t="str">
        <x:v>20 fictional sample records for portfolio demonstration. Input fields are editable; SLA targets, elapsed times, deadlines, and compliance results are formula-driven.</x:v>
      </x:c>
      <x:c r="O2" s="8" t="str">
        <x:v>20 fictional sample records for portfolio demonstration. Input fields are editable; SLA targets, elapsed times, deadlines, and compliance results are formula-driven.</x:v>
      </x:c>
      <x:c r="P2" s="8" t="str">
        <x:v>20 fictional sample records for portfolio demonstration. Input fields are editable; SLA targets, elapsed times, deadlines, and compliance results are formula-driven.</x:v>
      </x:c>
      <x:c r="Q2" s="8" t="str">
        <x:v>20 fictional sample records for portfolio demonstration. Input fields are editable; SLA targets, elapsed times, deadlines, and compliance results are formula-driven.</x:v>
      </x:c>
      <x:c r="R2" s="8" t="str">
        <x:v>20 fictional sample records for portfolio demonstration. Input fields are editable; SLA targets, elapsed times, deadlines, and compliance results are formula-driven.</x:v>
      </x:c>
      <x:c r="S2" s="8" t="str">
        <x:v>20 fictional sample records for portfolio demonstration. Input fields are editable; SLA targets, elapsed times, deadlines, and compliance results are formula-driven.</x:v>
      </x:c>
      <x:c r="T2" s="8" t="str">
        <x:v>20 fictional sample records for portfolio demonstration. Input fields are editable; SLA targets, elapsed times, deadlines, and compliance results are formula-driven.</x:v>
      </x:c>
      <x:c r="U2" s="8" t="str">
        <x:v>20 fictional sample records for portfolio demonstration. Input fields are editable; SLA targets, elapsed times, deadlines, and compliance results are formula-driven.</x:v>
      </x:c>
      <x:c r="V2" s="8" t="str">
        <x:v>20 fictional sample records for portfolio demonstration. Input fields are editable; SLA targets, elapsed times, deadlines, and compliance results are formula-driven.</x:v>
      </x:c>
      <x:c r="W2" s="8" t="str">
        <x:v>20 fictional sample records for portfolio demonstration. Input fields are editable; SLA targets, elapsed times, deadlines, and compliance results are formula-driven.</x:v>
      </x:c>
      <x:c r="X2" s="8" t="str">
        <x:v>20 fictional sample records for portfolio demonstration. Input fields are editable; SLA targets, elapsed times, deadlines, and compliance results are formula-driven.</x:v>
      </x:c>
      <x:c r="Y2" s="8" t="str">
        <x:v>20 fictional sample records for portfolio demonstration. Input fields are editable; SLA targets, elapsed times, deadlines, and compliance results are formula-driven.</x:v>
      </x:c>
      <x:c r="Z2" s="8" t="str">
        <x:v>20 fictional sample records for portfolio demonstration. Input fields are editable; SLA targets, elapsed times, deadlines, and compliance results are formula-driven.</x:v>
      </x:c>
      <x:c r="AA2" s="8" t="str">
        <x:v>20 fictional sample records for portfolio demonstration. Input fields are editable; SLA targets, elapsed times, deadlines, and compliance results are formula-driven.</x:v>
      </x:c>
      <x:c r="AB2" s="8" t="str">
        <x:v>20 fictional sample records for portfolio demonstration. Input fields are editable; SLA targets, elapsed times, deadlines, and compliance results are formula-driven.</x:v>
      </x:c>
      <x:c r="AC2" s="8" t="str">
        <x:v>20 fictional sample records for portfolio demonstration. Input fields are editable; SLA targets, elapsed times, deadlines, and compliance results are formula-driven.</x:v>
      </x:c>
      <x:c r="AD2" s="8" t="str">
        <x:v>20 fictional sample records for portfolio demonstration. Input fields are editable; SLA targets, elapsed times, deadlines, and compliance results are formula-driven.</x:v>
      </x:c>
      <x:c r="AE2" s="8" t="str">
        <x:v>20 fictional sample records for portfolio demonstration. Input fields are editable; SLA targets, elapsed times, deadlines, and compliance results are formula-driven.</x:v>
      </x:c>
      <x:c r="AF2" s="8" t="str">
        <x:v>20 fictional sample records for portfolio demonstration. Input fields are editable; SLA targets, elapsed times, deadlines, and compliance results are formula-driven.</x:v>
      </x:c>
      <x:c r="AG2" s="8" t="str">
        <x:v>20 fictional sample records for portfolio demonstration. Input fields are editable; SLA targets, elapsed times, deadlines, and compliance results are formula-driven.</x:v>
      </x:c>
    </x:row>
    <x:row r="3" ht="24" customHeight="1">
      <x:c r="A3" s="44" t="str">
        <x:v>Operating note: Severity drives priority. Account tier may change the relationship communication plan but does not override issue impact. All timestamps are illustrative Central Time.</x:v>
      </x:c>
      <x:c r="B3" s="44" t="str">
        <x:v>Operating note: Severity drives priority. Account tier may change the relationship communication plan but does not override issue impact. All timestamps are illustrative Central Time.</x:v>
      </x:c>
      <x:c r="C3" s="44" t="str">
        <x:v>Operating note: Severity drives priority. Account tier may change the relationship communication plan but does not override issue impact. All timestamps are illustrative Central Time.</x:v>
      </x:c>
      <x:c r="D3" s="44" t="str">
        <x:v>Operating note: Severity drives priority. Account tier may change the relationship communication plan but does not override issue impact. All timestamps are illustrative Central Time.</x:v>
      </x:c>
      <x:c r="E3" s="44" t="str">
        <x:v>Operating note: Severity drives priority. Account tier may change the relationship communication plan but does not override issue impact. All timestamps are illustrative Central Time.</x:v>
      </x:c>
      <x:c r="F3" s="44" t="str">
        <x:v>Operating note: Severity drives priority. Account tier may change the relationship communication plan but does not override issue impact. All timestamps are illustrative Central Time.</x:v>
      </x:c>
      <x:c r="G3" s="44" t="str">
        <x:v>Operating note: Severity drives priority. Account tier may change the relationship communication plan but does not override issue impact. All timestamps are illustrative Central Time.</x:v>
      </x:c>
      <x:c r="H3" s="44" t="str">
        <x:v>Operating note: Severity drives priority. Account tier may change the relationship communication plan but does not override issue impact. All timestamps are illustrative Central Time.</x:v>
      </x:c>
      <x:c r="I3" s="44" t="str">
        <x:v>Operating note: Severity drives priority. Account tier may change the relationship communication plan but does not override issue impact. All timestamps are illustrative Central Time.</x:v>
      </x:c>
      <x:c r="J3" s="44" t="str">
        <x:v>Operating note: Severity drives priority. Account tier may change the relationship communication plan but does not override issue impact. All timestamps are illustrative Central Time.</x:v>
      </x:c>
      <x:c r="K3" s="44" t="str">
        <x:v>Operating note: Severity drives priority. Account tier may change the relationship communication plan but does not override issue impact. All timestamps are illustrative Central Time.</x:v>
      </x:c>
      <x:c r="L3" s="44" t="str">
        <x:v>Operating note: Severity drives priority. Account tier may change the relationship communication plan but does not override issue impact. All timestamps are illustrative Central Time.</x:v>
      </x:c>
      <x:c r="M3" s="44" t="str">
        <x:v>Operating note: Severity drives priority. Account tier may change the relationship communication plan but does not override issue impact. All timestamps are illustrative Central Time.</x:v>
      </x:c>
      <x:c r="N3" s="44" t="str">
        <x:v>Operating note: Severity drives priority. Account tier may change the relationship communication plan but does not override issue impact. All timestamps are illustrative Central Time.</x:v>
      </x:c>
      <x:c r="O3" s="44" t="str">
        <x:v>Operating note: Severity drives priority. Account tier may change the relationship communication plan but does not override issue impact. All timestamps are illustrative Central Time.</x:v>
      </x:c>
      <x:c r="P3" s="44" t="str">
        <x:v>Operating note: Severity drives priority. Account tier may change the relationship communication plan but does not override issue impact. All timestamps are illustrative Central Time.</x:v>
      </x:c>
      <x:c r="Q3" s="44" t="str">
        <x:v>Operating note: Severity drives priority. Account tier may change the relationship communication plan but does not override issue impact. All timestamps are illustrative Central Time.</x:v>
      </x:c>
      <x:c r="R3" s="44" t="str">
        <x:v>Operating note: Severity drives priority. Account tier may change the relationship communication plan but does not override issue impact. All timestamps are illustrative Central Time.</x:v>
      </x:c>
      <x:c r="S3" s="44" t="str">
        <x:v>Operating note: Severity drives priority. Account tier may change the relationship communication plan but does not override issue impact. All timestamps are illustrative Central Time.</x:v>
      </x:c>
      <x:c r="T3" s="44" t="str">
        <x:v>Operating note: Severity drives priority. Account tier may change the relationship communication plan but does not override issue impact. All timestamps are illustrative Central Time.</x:v>
      </x:c>
      <x:c r="U3" s="44" t="str">
        <x:v>Operating note: Severity drives priority. Account tier may change the relationship communication plan but does not override issue impact. All timestamps are illustrative Central Time.</x:v>
      </x:c>
      <x:c r="V3" s="44" t="str">
        <x:v>Operating note: Severity drives priority. Account tier may change the relationship communication plan but does not override issue impact. All timestamps are illustrative Central Time.</x:v>
      </x:c>
      <x:c r="W3" s="44" t="str">
        <x:v>Operating note: Severity drives priority. Account tier may change the relationship communication plan but does not override issue impact. All timestamps are illustrative Central Time.</x:v>
      </x:c>
      <x:c r="X3" s="44" t="str">
        <x:v>Operating note: Severity drives priority. Account tier may change the relationship communication plan but does not override issue impact. All timestamps are illustrative Central Time.</x:v>
      </x:c>
      <x:c r="Y3" s="44" t="str">
        <x:v>Operating note: Severity drives priority. Account tier may change the relationship communication plan but does not override issue impact. All timestamps are illustrative Central Time.</x:v>
      </x:c>
      <x:c r="Z3" s="44" t="str">
        <x:v>Operating note: Severity drives priority. Account tier may change the relationship communication plan but does not override issue impact. All timestamps are illustrative Central Time.</x:v>
      </x:c>
      <x:c r="AA3" s="44" t="str">
        <x:v>Operating note: Severity drives priority. Account tier may change the relationship communication plan but does not override issue impact. All timestamps are illustrative Central Time.</x:v>
      </x:c>
      <x:c r="AB3" s="44" t="str">
        <x:v>Operating note: Severity drives priority. Account tier may change the relationship communication plan but does not override issue impact. All timestamps are illustrative Central Time.</x:v>
      </x:c>
      <x:c r="AC3" s="44" t="str">
        <x:v>Operating note: Severity drives priority. Account tier may change the relationship communication plan but does not override issue impact. All timestamps are illustrative Central Time.</x:v>
      </x:c>
      <x:c r="AD3" s="44" t="str">
        <x:v>Operating note: Severity drives priority. Account tier may change the relationship communication plan but does not override issue impact. All timestamps are illustrative Central Time.</x:v>
      </x:c>
      <x:c r="AE3" s="44" t="str">
        <x:v>Operating note: Severity drives priority. Account tier may change the relationship communication plan but does not override issue impact. All timestamps are illustrative Central Time.</x:v>
      </x:c>
      <x:c r="AF3" s="44" t="str">
        <x:v>Operating note: Severity drives priority. Account tier may change the relationship communication plan but does not override issue impact. All timestamps are illustrative Central Time.</x:v>
      </x:c>
      <x:c r="AG3" s="44" t="str">
        <x:v>Operating note: Severity drives priority. Account tier may change the relationship communication plan but does not override issue impact. All timestamps are illustrative Central Time.</x:v>
      </x:c>
    </x:row>
    <x:row r="5" ht="42" customHeight="1">
      <x:c r="A5" s="16" t="str">
        <x:v>Ticket ID</x:v>
      </x:c>
      <x:c r="B5" s="16" t="str">
        <x:v>Customer</x:v>
      </x:c>
      <x:c r="C5" s="16" t="str">
        <x:v>Account Tier</x:v>
      </x:c>
      <x:c r="D5" s="16" t="str">
        <x:v>Request Channel</x:v>
      </x:c>
      <x:c r="E5" s="16" t="str">
        <x:v>Issue Category</x:v>
      </x:c>
      <x:c r="F5" s="16" t="str">
        <x:v>Issue Summary</x:v>
      </x:c>
      <x:c r="G5" s="16" t="str">
        <x:v>Priority</x:v>
      </x:c>
      <x:c r="H5" s="16" t="str">
        <x:v>Date Submitted</x:v>
      </x:c>
      <x:c r="I5" s="16" t="str">
        <x:v>Assigned Owner</x:v>
      </x:c>
      <x:c r="J5" s="16" t="str">
        <x:v>Owner Team</x:v>
      </x:c>
      <x:c r="K5" s="16" t="str">
        <x:v>Assignment Date</x:v>
      </x:c>
      <x:c r="L5" s="16" t="str">
        <x:v>Assignment Target (hrs)</x:v>
      </x:c>
      <x:c r="M5" s="16" t="str">
        <x:v>Assignment Time (hrs)</x:v>
      </x:c>
      <x:c r="N5" s="16" t="str">
        <x:v>Assignment SLA Met</x:v>
      </x:c>
      <x:c r="O5" s="16" t="str">
        <x:v>First Response Date</x:v>
      </x:c>
      <x:c r="P5" s="16" t="str">
        <x:v>First Response Target (hrs)</x:v>
      </x:c>
      <x:c r="Q5" s="16" t="str">
        <x:v>First Response Time (hrs)</x:v>
      </x:c>
      <x:c r="R5" s="16" t="str">
        <x:v>First Response SLA Met</x:v>
      </x:c>
      <x:c r="S5" s="16" t="str">
        <x:v>SLA Deadline</x:v>
      </x:c>
      <x:c r="T5" s="16" t="str">
        <x:v>Status</x:v>
      </x:c>
      <x:c r="U5" s="16" t="str">
        <x:v>Escalation Status</x:v>
      </x:c>
      <x:c r="V5" s="16" t="str">
        <x:v>Resolution Date</x:v>
      </x:c>
      <x:c r="W5" s="16" t="str">
        <x:v>Resolution Time (business hrs)</x:v>
      </x:c>
      <x:c r="X5" s="16" t="str">
        <x:v>Resolution SLA Met</x:v>
      </x:c>
      <x:c r="Y5" s="16" t="str">
        <x:v>Overall SLA Met</x:v>
      </x:c>
      <x:c r="Z5" s="16" t="str">
        <x:v>Root Cause</x:v>
      </x:c>
      <x:c r="AA5" s="16" t="str">
        <x:v>Customer Satisfaction</x:v>
      </x:c>
      <x:c r="AB5" s="16" t="str">
        <x:v>Follow-Up Required</x:v>
      </x:c>
      <x:c r="AC5" s="16" t="str">
        <x:v>Repeat Issue</x:v>
      </x:c>
      <x:c r="AD5" s="16" t="str">
        <x:v>Notes</x:v>
      </x:c>
      <x:c r="AE5" s="16" t="str">
        <x:v>Update Cadence</x:v>
      </x:c>
      <x:c r="AF5" s="16" t="str">
        <x:v>Last Customer Update</x:v>
      </x:c>
      <x:c r="AG5" s="16" t="str">
        <x:v>Required Update Compliance</x:v>
      </x:c>
    </x:row>
    <x:row r="6" ht="42" customHeight="1">
      <x:c r="A6" s="24" t="str">
        <x:v>AST-2026-0001</x:v>
      </x:c>
      <x:c r="B6" s="24" t="str">
        <x:v>Northstar Health</x:v>
      </x:c>
      <x:c r="C6" s="24" t="str">
        <x:v>Strategic</x:v>
      </x:c>
      <x:c r="D6" s="24" t="str">
        <x:v>Support Portal</x:v>
      </x:c>
      <x:c r="E6" s="24" t="str">
        <x:v>Performance &amp; Availability</x:v>
      </x:c>
      <x:c r="F6" s="24" t="str">
        <x:v>API latency blocked the scheduling workflow</x:v>
      </x:c>
      <x:c r="G6" s="24" t="str">
        <x:v>P1</x:v>
      </x:c>
      <x:c r="H6" s="45" t="n">
        <x:v>46209.37847222222</x:v>
      </x:c>
      <x:c r="I6" s="24" t="str">
        <x:v>Eli Ramirez</x:v>
      </x:c>
      <x:c r="J6" s="24" t="str">
        <x:v>Engineering</x:v>
      </x:c>
      <x:c r="K6" s="45" t="n">
        <x:v>46209.38333333333</x:v>
      </x:c>
      <x:c r="L6" s="27" t="n">
        <x:f>VLOOKUP(G6,'SLA &amp; Priority'!$A$6:$G$9,4,FALSE)</x:f>
        <x:v>0.25</x:v>
      </x:c>
      <x:c r="M6" s="27" t="n">
        <x:f>IF(K6="","",IF(G6="P1",(K6-H6)*24,MAX(0,(NETWORKDAYS(INT(H6),INT(K6))-1)*10+(MOD(K6,1)-MOD(H6,1))*24)))</x:f>
        <x:v>0.11666666669771075</x:v>
      </x:c>
      <x:c r="N6" s="24" t="str">
        <x:f>IF(K6="","Open",IF(M6&lt;=L6,"Yes","No"))</x:f>
        <x:v>Yes</x:v>
      </x:c>
      <x:c r="O6" s="45" t="n">
        <x:v>46209.384722222225</x:v>
      </x:c>
      <x:c r="P6" s="27" t="n">
        <x:f>VLOOKUP(G6,'SLA &amp; Priority'!$A$6:$G$9,3,FALSE)</x:f>
        <x:v>0.25</x:v>
      </x:c>
      <x:c r="Q6" s="27" t="n">
        <x:f>IF(O6="","",IF(G6="P1",(O6-H6)*24,MAX(0,(NETWORKDAYS(INT(H6),INT(O6))-1)*10+(MOD(O6,1)-MOD(H6,1))*24)))</x:f>
        <x:v>0.1500000001396984</x:v>
      </x:c>
      <x:c r="R6" s="24" t="str">
        <x:f>IF(O6="","Open",IF(Q6&lt;=P6,"Yes","No"))</x:f>
        <x:v>Yes</x:v>
      </x:c>
      <x:c r="S6" s="45" t="n">
        <x:f>IF(G6="P1",H6+VLOOKUP(G6,'SLA &amp; Priority'!$A$6:$G$9,5,FALSE),WORKDAY(INT(H6),VLOOKUP(G6,'SLA &amp; Priority'!$A$6:$G$9,5,FALSE))+MOD(H6,1))</x:f>
        <x:v>46209.54513888888</x:v>
      </x:c>
      <x:c r="T6" s="24" t="str">
        <x:v>Closed</x:v>
      </x:c>
      <x:c r="U6" s="24" t="str">
        <x:v>Level 2</x:v>
      </x:c>
      <x:c r="V6" s="45" t="n">
        <x:v>46209.52777777778</x:v>
      </x:c>
      <x:c r="W6" s="27" t="n">
        <x:f>IF(V6="","",IF(G6="P1",(V6-H6)*24,MAX(0,(NETWORKDAYS(INT(H6),INT(V6))-1)*10+(MOD(V6,1)-MOD(H6,1))*24)))</x:f>
        <x:v>3.5833333334885538</x:v>
      </x:c>
      <x:c r="X6" s="24" t="str">
        <x:f>IF(V6="","Open",IF(V6&lt;=S6,"Yes","No"))</x:f>
        <x:v>Yes</x:v>
      </x:c>
      <x:c r="Y6" s="24" t="str">
        <x:f>IF(V6="","Open",IF(AND(N6="Yes",R6="Yes",X6="Yes"),"Yes","No"))</x:f>
        <x:v>Yes</x:v>
      </x:c>
      <x:c r="Z6" s="24" t="str">
        <x:v>Capacity threshold gap</x:v>
      </x:c>
      <x:c r="AA6" s="48" t="n">
        <x:v>5</x:v>
      </x:c>
      <x:c r="AB6" s="24" t="str">
        <x:v>Yes</x:v>
      </x:c>
      <x:c r="AC6" s="24" t="str">
        <x:v>No</x:v>
      </x:c>
      <x:c r="AD6" s="24" t="str">
        <x:v>Traffic stabilized after capacity was rebalanced; reliability review opened.</x:v>
      </x:c>
      <x:c r="AE6" s="24" t="str">
        <x:f>VLOOKUP(G6,'SLA &amp; Priority'!$A$6:$G$9,7,FALSE)</x:f>
        <x:v>Every 30 minutes</x:v>
      </x:c>
      <x:c r="AF6" s="45" t="n">
        <x:v>46209.52777777778</x:v>
      </x:c>
      <x:c r="AG6" s="24" t="str">
        <x:v>Yes</x:v>
      </x:c>
    </x:row>
    <x:row r="7" ht="42" customHeight="1">
      <x:c r="A7" s="25" t="str">
        <x:v>AST-2026-0002</x:v>
      </x:c>
      <x:c r="B7" s="25" t="str">
        <x:v>Vista Retail Group</x:v>
      </x:c>
      <x:c r="C7" s="25" t="str">
        <x:v>Growth</x:v>
      </x:c>
      <x:c r="D7" s="25" t="str">
        <x:v>Chat</x:v>
      </x:c>
      <x:c r="E7" s="25" t="str">
        <x:v>Performance &amp; Availability</x:v>
      </x:c>
      <x:c r="F7" s="25" t="str">
        <x:v>Checkout synchronization unavailable for all stores</x:v>
      </x:c>
      <x:c r="G7" s="25" t="str">
        <x:v>P1</x:v>
      </x:c>
      <x:c r="H7" s="46" t="n">
        <x:v>46218.430555555555</x:v>
      </x:c>
      <x:c r="I7" s="25" t="str">
        <x:v>Eli Ramirez</x:v>
      </x:c>
      <x:c r="J7" s="25" t="str">
        <x:v>Engineering</x:v>
      </x:c>
      <x:c r="K7" s="46" t="n">
        <x:v>46218.44305555556</x:v>
      </x:c>
      <x:c r="L7" s="28" t="n">
        <x:f>VLOOKUP(G7,'SLA &amp; Priority'!$A$6:$G$9,4,FALSE)</x:f>
        <x:v>0.25</x:v>
      </x:c>
      <x:c r="M7" s="28" t="n">
        <x:f>IF(K7="","",IF(G7="P1",(K7-H7)*24,MAX(0,(NETWORKDAYS(INT(H7),INT(K7))-1)*10+(MOD(K7,1)-MOD(H7,1))*24)))</x:f>
        <x:v>0.3000000001047738</x:v>
      </x:c>
      <x:c r="N7" s="25" t="str">
        <x:f>IF(K7="","Open",IF(M7&lt;=L7,"Yes","No"))</x:f>
        <x:v>No</x:v>
      </x:c>
      <x:c r="O7" s="46" t="n">
        <x:v>46218.44027777778</x:v>
      </x:c>
      <x:c r="P7" s="28" t="n">
        <x:f>VLOOKUP(G7,'SLA &amp; Priority'!$A$6:$G$9,3,FALSE)</x:f>
        <x:v>0.25</x:v>
      </x:c>
      <x:c r="Q7" s="28" t="n">
        <x:f>IF(O7="","",IF(G7="P1",(O7-H7)*24,MAX(0,(NETWORKDAYS(INT(H7),INT(O7))-1)*10+(MOD(O7,1)-MOD(H7,1))*24)))</x:f>
        <x:v>0.2333333333954215</x:v>
      </x:c>
      <x:c r="R7" s="25" t="str">
        <x:f>IF(O7="","Open",IF(Q7&lt;=P7,"Yes","No"))</x:f>
        <x:v>Yes</x:v>
      </x:c>
      <x:c r="S7" s="46" t="n">
        <x:f>IF(G7="P1",H7+VLOOKUP(G7,'SLA &amp; Priority'!$A$6:$G$9,5,FALSE),WORKDAY(INT(H7),VLOOKUP(G7,'SLA &amp; Priority'!$A$6:$G$9,5,FALSE))+MOD(H7,1))</x:f>
        <x:v>46218.59722222222</x:v>
      </x:c>
      <x:c r="T7" s="25" t="str">
        <x:v>Closed</x:v>
      </x:c>
      <x:c r="U7" s="25" t="str">
        <x:v>Level 3</x:v>
      </x:c>
      <x:c r="V7" s="46" t="n">
        <x:v>46218.62847222222</x:v>
      </x:c>
      <x:c r="W7" s="28" t="n">
        <x:f>IF(V7="","",IF(G7="P1",(V7-H7)*24,MAX(0,(NETWORKDAYS(INT(H7),INT(V7))-1)*10+(MOD(V7,1)-MOD(H7,1))*24)))</x:f>
        <x:v>4.749999999941792</x:v>
      </x:c>
      <x:c r="X7" s="25" t="str">
        <x:f>IF(V7="","Open",IF(V7&lt;=S7,"Yes","No"))</x:f>
        <x:v>No</x:v>
      </x:c>
      <x:c r="Y7" s="25" t="str">
        <x:f>IF(V7="","Open",IF(AND(N7="Yes",R7="Yes",X7="Yes"),"Yes","No"))</x:f>
        <x:v>No</x:v>
      </x:c>
      <x:c r="Z7" s="25" t="str">
        <x:v>Capacity threshold gap</x:v>
      </x:c>
      <x:c r="AA7" s="49" t="n">
        <x:v>2</x:v>
      </x:c>
      <x:c r="AB7" s="25" t="str">
        <x:v>Yes</x:v>
      </x:c>
      <x:c r="AC7" s="25" t="str">
        <x:v>No</x:v>
      </x:c>
      <x:c r="AD7" s="25" t="str">
        <x:v>Assignment and restoration targets were missed; manager-led recovery completed.</x:v>
      </x:c>
      <x:c r="AE7" s="25" t="str">
        <x:f>VLOOKUP(G7,'SLA &amp; Priority'!$A$6:$G$9,7,FALSE)</x:f>
        <x:v>Every 30 minutes</x:v>
      </x:c>
      <x:c r="AF7" s="46" t="n">
        <x:v>46218.62847222222</x:v>
      </x:c>
      <x:c r="AG7" s="25" t="str">
        <x:v>No</x:v>
      </x:c>
    </x:row>
    <x:row r="8" ht="42" customHeight="1">
      <x:c r="A8" s="25" t="str">
        <x:v>AST-2026-0003</x:v>
      </x:c>
      <x:c r="B8" s="25" t="str">
        <x:v>BrightPath Education</x:v>
      </x:c>
      <x:c r="C8" s="25" t="str">
        <x:v>Strategic</x:v>
      </x:c>
      <x:c r="D8" s="25" t="str">
        <x:v>CSM</x:v>
      </x:c>
      <x:c r="E8" s="25" t="str">
        <x:v>Integration/API</x:v>
      </x:c>
      <x:c r="F8" s="25" t="str">
        <x:v>SSO integration failed during launch validation</x:v>
      </x:c>
      <x:c r="G8" s="25" t="str">
        <x:v>P2</x:v>
      </x:c>
      <x:c r="H8" s="46" t="n">
        <x:v>46210.364583333336</x:v>
      </x:c>
      <x:c r="I8" s="25" t="str">
        <x:v>Noah Patel</x:v>
      </x:c>
      <x:c r="J8" s="25" t="str">
        <x:v>Product</x:v>
      </x:c>
      <x:c r="K8" s="46" t="n">
        <x:v>46210.381944444445</x:v>
      </x:c>
      <x:c r="L8" s="28" t="n">
        <x:f>VLOOKUP(G8,'SLA &amp; Priority'!$A$6:$G$9,4,FALSE)</x:f>
        <x:v>1</x:v>
      </x:c>
      <x:c r="M8" s="28" t="n">
        <x:f>IF(K8="","",IF(G8="P1",(K8-H8)*24,MAX(0,(NETWORKDAYS(INT(H8),INT(K8))-1)*10+(MOD(K8,1)-MOD(H8,1))*24)))</x:f>
        <x:v>0.41666666662786156</x:v>
      </x:c>
      <x:c r="N8" s="25" t="str">
        <x:f>IF(K8="","Open",IF(M8&lt;=L8,"Yes","No"))</x:f>
        <x:v>Yes</x:v>
      </x:c>
      <x:c r="O8" s="46" t="n">
        <x:v>46210.38888888889</x:v>
      </x:c>
      <x:c r="P8" s="28" t="n">
        <x:f>VLOOKUP(G8,'SLA &amp; Priority'!$A$6:$G$9,3,FALSE)</x:f>
        <x:v>1</x:v>
      </x:c>
      <x:c r="Q8" s="28" t="n">
        <x:f>IF(O8="","",IF(G8="P1",(O8-H8)*24,MAX(0,(NETWORKDAYS(INT(H8),INT(O8))-1)*10+(MOD(O8,1)-MOD(H8,1))*24)))</x:f>
        <x:v>0.5833333333139308</x:v>
      </x:c>
      <x:c r="R8" s="25" t="str">
        <x:f>IF(O8="","Open",IF(Q8&lt;=P8,"Yes","No"))</x:f>
        <x:v>Yes</x:v>
      </x:c>
      <x:c r="S8" s="46" t="n">
        <x:f>IF(G8="P1",H8+VLOOKUP(G8,'SLA &amp; Priority'!$A$6:$G$9,5,FALSE),WORKDAY(INT(H8),VLOOKUP(G8,'SLA &amp; Priority'!$A$6:$G$9,5,FALSE))+MOD(H8,1))</x:f>
        <x:v>46211.364583333336</x:v>
      </x:c>
      <x:c r="T8" s="25" t="str">
        <x:v>Closed</x:v>
      </x:c>
      <x:c r="U8" s="25" t="str">
        <x:v>Level 2</x:v>
      </x:c>
      <x:c r="V8" s="46" t="n">
        <x:v>46211.354166666664</x:v>
      </x:c>
      <x:c r="W8" s="28" t="n">
        <x:f>IF(V8="","",IF(G8="P1",(V8-H8)*24,MAX(0,(NETWORKDAYS(INT(H8),INT(V8))-1)*10+(MOD(V8,1)-MOD(H8,1))*24)))</x:f>
        <x:v>9.749999999883585</x:v>
      </x:c>
      <x:c r="X8" s="25" t="str">
        <x:f>IF(V8="","Open",IF(V8&lt;=S8,"Yes","No"))</x:f>
        <x:v>Yes</x:v>
      </x:c>
      <x:c r="Y8" s="25" t="str">
        <x:f>IF(V8="","Open",IF(AND(N8="Yes",R8="Yes",X8="Yes"),"Yes","No"))</x:f>
        <x:v>Yes</x:v>
      </x:c>
      <x:c r="Z8" s="25" t="str">
        <x:v>Setup guidance gap</x:v>
      </x:c>
      <x:c r="AA8" s="49" t="n">
        <x:v>5</x:v>
      </x:c>
      <x:c r="AB8" s="25" t="str">
        <x:v>Yes</x:v>
      </x:c>
      <x:c r="AC8" s="25" t="str">
        <x:v>No</x:v>
      </x:c>
      <x:c r="AD8" s="25" t="str">
        <x:v>Configuration corrected and launch checklist updated for the pilot team.</x:v>
      </x:c>
      <x:c r="AE8" s="25" t="str">
        <x:f>VLOOKUP(G8,'SLA &amp; Priority'!$A$6:$G$9,7,FALSE)</x:f>
        <x:v>Every 4 business hours</x:v>
      </x:c>
      <x:c r="AF8" s="46" t="n">
        <x:v>46211.354166666664</x:v>
      </x:c>
      <x:c r="AG8" s="25" t="str">
        <x:v>Yes</x:v>
      </x:c>
    </x:row>
    <x:row r="9" ht="42" customHeight="1">
      <x:c r="A9" s="25" t="str">
        <x:v>AST-2026-0004</x:v>
      </x:c>
      <x:c r="B9" s="25" t="str">
        <x:v>Redwood Laboratories</x:v>
      </x:c>
      <x:c r="C9" s="25" t="str">
        <x:v>Growth</x:v>
      </x:c>
      <x:c r="D9" s="25" t="str">
        <x:v>Email</x:v>
      </x:c>
      <x:c r="E9" s="25" t="str">
        <x:v>Billing &amp; Renewal</x:v>
      </x:c>
      <x:c r="F9" s="25" t="str">
        <x:v>Renewal invoice reflected seats removed in the prior amendment</x:v>
      </x:c>
      <x:c r="G9" s="25" t="str">
        <x:v>P2</x:v>
      </x:c>
      <x:c r="H9" s="46" t="n">
        <x:v>46211.395833333336</x:v>
      </x:c>
      <x:c r="I9" s="25" t="str">
        <x:v>Jordan Brooks</x:v>
      </x:c>
      <x:c r="J9" s="25" t="str">
        <x:v>Operations</x:v>
      </x:c>
      <x:c r="K9" s="46" t="n">
        <x:v>46211.427083333336</x:v>
      </x:c>
      <x:c r="L9" s="28" t="n">
        <x:f>VLOOKUP(G9,'SLA &amp; Priority'!$A$6:$G$9,4,FALSE)</x:f>
        <x:v>1</x:v>
      </x:c>
      <x:c r="M9" s="28" t="n">
        <x:f>IF(K9="","",IF(G9="P1",(K9-H9)*24,MAX(0,(NETWORKDAYS(INT(H9),INT(K9))-1)*10+(MOD(K9,1)-MOD(H9,1))*24)))</x:f>
        <x:v>0.75</x:v>
      </x:c>
      <x:c r="N9" s="25" t="str">
        <x:f>IF(K9="","Open",IF(M9&lt;=L9,"Yes","No"))</x:f>
        <x:v>Yes</x:v>
      </x:c>
      <x:c r="O9" s="46" t="n">
        <x:v>46211.430555555555</x:v>
      </x:c>
      <x:c r="P9" s="28" t="n">
        <x:f>VLOOKUP(G9,'SLA &amp; Priority'!$A$6:$G$9,3,FALSE)</x:f>
        <x:v>1</x:v>
      </x:c>
      <x:c r="Q9" s="28" t="n">
        <x:f>IF(O9="","",IF(G9="P1",(O9-H9)*24,MAX(0,(NETWORKDAYS(INT(H9),INT(O9))-1)*10+(MOD(O9,1)-MOD(H9,1))*24)))</x:f>
        <x:v>0.8333333332557231</x:v>
      </x:c>
      <x:c r="R9" s="25" t="str">
        <x:f>IF(O9="","Open",IF(Q9&lt;=P9,"Yes","No"))</x:f>
        <x:v>Yes</x:v>
      </x:c>
      <x:c r="S9" s="46" t="n">
        <x:f>IF(G9="P1",H9+VLOOKUP(G9,'SLA &amp; Priority'!$A$6:$G$9,5,FALSE),WORKDAY(INT(H9),VLOOKUP(G9,'SLA &amp; Priority'!$A$6:$G$9,5,FALSE))+MOD(H9,1))</x:f>
        <x:v>46212.395833333336</x:v>
      </x:c>
      <x:c r="T9" s="25" t="str">
        <x:v>Closed</x:v>
      </x:c>
      <x:c r="U9" s="25" t="str">
        <x:v>Level 1</x:v>
      </x:c>
      <x:c r="V9" s="46" t="n">
        <x:v>46212.479166666664</x:v>
      </x:c>
      <x:c r="W9" s="28" t="n">
        <x:f>IF(V9="","",IF(G9="P1",(V9-H9)*24,MAX(0,(NETWORKDAYS(INT(H9),INT(V9))-1)*10+(MOD(V9,1)-MOD(H9,1))*24)))</x:f>
        <x:v>11.999999999883585</x:v>
      </x:c>
      <x:c r="X9" s="25" t="str">
        <x:f>IF(V9="","Open",IF(V9&lt;=S9,"Yes","No"))</x:f>
        <x:v>No</x:v>
      </x:c>
      <x:c r="Y9" s="25" t="str">
        <x:f>IF(V9="","Open",IF(AND(N9="Yes",R9="Yes",X9="Yes"),"Yes","No"))</x:f>
        <x:v>No</x:v>
      </x:c>
      <x:c r="Z9" s="25" t="str">
        <x:v>CRM-to-billing handoff</x:v>
      </x:c>
      <x:c r="AA9" s="49" t="n">
        <x:v>3</x:v>
      </x:c>
      <x:c r="AB9" s="25" t="str">
        <x:v>Yes</x:v>
      </x:c>
      <x:c r="AC9" s="25" t="str">
        <x:v>No</x:v>
      </x:c>
      <x:c r="AD9" s="25" t="str">
        <x:v>Invoice corrected after manual contract validation; handoff exception logged.</x:v>
      </x:c>
      <x:c r="AE9" s="25" t="str">
        <x:f>VLOOKUP(G9,'SLA &amp; Priority'!$A$6:$G$9,7,FALSE)</x:f>
        <x:v>Every 4 business hours</x:v>
      </x:c>
      <x:c r="AF9" s="46" t="n">
        <x:v>46212.479166666664</x:v>
      </x:c>
      <x:c r="AG9" s="25" t="str">
        <x:v>No</x:v>
      </x:c>
    </x:row>
    <x:row r="10" ht="42" customHeight="1">
      <x:c r="A10" s="25" t="str">
        <x:v>AST-2026-0005</x:v>
      </x:c>
      <x:c r="B10" s="25" t="str">
        <x:v>Bluebird Logistics</x:v>
      </x:c>
      <x:c r="C10" s="25" t="str">
        <x:v>Strategic</x:v>
      </x:c>
      <x:c r="D10" s="25" t="str">
        <x:v>Account Manager</x:v>
      </x:c>
      <x:c r="E10" s="25" t="str">
        <x:v>Access &amp; Permissions</x:v>
      </x:c>
      <x:c r="F10" s="25" t="str">
        <x:v>Administrators were locked out after a role migration</x:v>
      </x:c>
      <x:c r="G10" s="25" t="str">
        <x:v>P2</x:v>
      </x:c>
      <x:c r="H10" s="46" t="n">
        <x:v>46213.34722222222</x:v>
      </x:c>
      <x:c r="I10" s="25" t="str">
        <x:v>Eli Ramirez</x:v>
      </x:c>
      <x:c r="J10" s="25" t="str">
        <x:v>Engineering</x:v>
      </x:c>
      <x:c r="K10" s="46" t="n">
        <x:v>46213.368055555555</x:v>
      </x:c>
      <x:c r="L10" s="28" t="n">
        <x:f>VLOOKUP(G10,'SLA &amp; Priority'!$A$6:$G$9,4,FALSE)</x:f>
        <x:v>1</x:v>
      </x:c>
      <x:c r="M10" s="28" t="n">
        <x:f>IF(K10="","",IF(G10="P1",(K10-H10)*24,MAX(0,(NETWORKDAYS(INT(H10),INT(K10))-1)*10+(MOD(K10,1)-MOD(H10,1))*24)))</x:f>
        <x:v>0.5000000000582077</x:v>
      </x:c>
      <x:c r="N10" s="25" t="str">
        <x:f>IF(K10="","Open",IF(M10&lt;=L10,"Yes","No"))</x:f>
        <x:v>Yes</x:v>
      </x:c>
      <x:c r="O10" s="46" t="n">
        <x:v>46213.375</x:v>
      </x:c>
      <x:c r="P10" s="28" t="n">
        <x:f>VLOOKUP(G10,'SLA &amp; Priority'!$A$6:$G$9,3,FALSE)</x:f>
        <x:v>1</x:v>
      </x:c>
      <x:c r="Q10" s="28" t="n">
        <x:f>IF(O10="","",IF(G10="P1",(O10-H10)*24,MAX(0,(NETWORKDAYS(INT(H10),INT(O10))-1)*10+(MOD(O10,1)-MOD(H10,1))*24)))</x:f>
        <x:v>0.6666666667442769</x:v>
      </x:c>
      <x:c r="R10" s="25" t="str">
        <x:f>IF(O10="","Open",IF(Q10&lt;=P10,"Yes","No"))</x:f>
        <x:v>Yes</x:v>
      </x:c>
      <x:c r="S10" s="46" t="n">
        <x:f>IF(G10="P1",H10+VLOOKUP(G10,'SLA &amp; Priority'!$A$6:$G$9,5,FALSE),WORKDAY(INT(H10),VLOOKUP(G10,'SLA &amp; Priority'!$A$6:$G$9,5,FALSE))+MOD(H10,1))</x:f>
        <x:v>46216.34722222222</x:v>
      </x:c>
      <x:c r="T10" s="25" t="str">
        <x:v>Closed</x:v>
      </x:c>
      <x:c r="U10" s="25" t="str">
        <x:v>Level 2</x:v>
      </x:c>
      <x:c r="V10" s="46" t="n">
        <x:v>46213.666666666664</x:v>
      </x:c>
      <x:c r="W10" s="28" t="n">
        <x:f>IF(V10="","",IF(G10="P1",(V10-H10)*24,MAX(0,(NETWORKDAYS(INT(H10),INT(V10))-1)*10+(MOD(V10,1)-MOD(H10,1))*24)))</x:f>
        <x:v>7.666666666686069</x:v>
      </x:c>
      <x:c r="X10" s="25" t="str">
        <x:f>IF(V10="","Open",IF(V10&lt;=S10,"Yes","No"))</x:f>
        <x:v>Yes</x:v>
      </x:c>
      <x:c r="Y10" s="25" t="str">
        <x:f>IF(V10="","Open",IF(AND(N10="Yes",R10="Yes",X10="Yes"),"Yes","No"))</x:f>
        <x:v>Yes</x:v>
      </x:c>
      <x:c r="Z10" s="25" t="str">
        <x:v>Role migration defect</x:v>
      </x:c>
      <x:c r="AA10" s="49" t="n">
        <x:v>5</x:v>
      </x:c>
      <x:c r="AB10" s="25" t="str">
        <x:v>Yes</x:v>
      </x:c>
      <x:c r="AC10" s="25" t="str">
        <x:v>No</x:v>
      </x:c>
      <x:c r="AD10" s="25" t="str">
        <x:v>Roles restored and affected administrators verified access before closure.</x:v>
      </x:c>
      <x:c r="AE10" s="25" t="str">
        <x:f>VLOOKUP(G10,'SLA &amp; Priority'!$A$6:$G$9,7,FALSE)</x:f>
        <x:v>Every 4 business hours</x:v>
      </x:c>
      <x:c r="AF10" s="46" t="n">
        <x:v>46213.666666666664</x:v>
      </x:c>
      <x:c r="AG10" s="25" t="str">
        <x:v>Yes</x:v>
      </x:c>
    </x:row>
    <x:row r="11" ht="42" customHeight="1">
      <x:c r="A11" s="25" t="str">
        <x:v>AST-2026-0006</x:v>
      </x:c>
      <x:c r="B11" s="25" t="str">
        <x:v>Halcyon Energy</x:v>
      </x:c>
      <x:c r="C11" s="25" t="str">
        <x:v>Growth</x:v>
      </x:c>
      <x:c r="D11" s="25" t="str">
        <x:v>Support Portal</x:v>
      </x:c>
      <x:c r="E11" s="25" t="str">
        <x:v>Integration/API</x:v>
      </x:c>
      <x:c r="F11" s="25" t="str">
        <x:v>Data import rejected a valid timestamp format</x:v>
      </x:c>
      <x:c r="G11" s="25" t="str">
        <x:v>P2</x:v>
      </x:c>
      <x:c r="H11" s="46" t="n">
        <x:v>46216.416666666664</x:v>
      </x:c>
      <x:c r="I11" s="25" t="str">
        <x:v>Maya Chen</x:v>
      </x:c>
      <x:c r="J11" s="25" t="str">
        <x:v>Support</x:v>
      </x:c>
      <x:c r="K11" s="46" t="n">
        <x:v>46216.4375</x:v>
      </x:c>
      <x:c r="L11" s="28" t="n">
        <x:f>VLOOKUP(G11,'SLA &amp; Priority'!$A$6:$G$9,4,FALSE)</x:f>
        <x:v>1</x:v>
      </x:c>
      <x:c r="M11" s="28" t="n">
        <x:f>IF(K11="","",IF(G11="P1",(K11-H11)*24,MAX(0,(NETWORKDAYS(INT(H11),INT(K11))-1)*10+(MOD(K11,1)-MOD(H11,1))*24)))</x:f>
        <x:v>0.5000000000582077</x:v>
      </x:c>
      <x:c r="N11" s="25" t="str">
        <x:f>IF(K11="","Open",IF(M11&lt;=L11,"Yes","No"))</x:f>
        <x:v>Yes</x:v>
      </x:c>
      <x:c r="O11" s="46" t="n">
        <x:v>46216.447916666664</x:v>
      </x:c>
      <x:c r="P11" s="28" t="n">
        <x:f>VLOOKUP(G11,'SLA &amp; Priority'!$A$6:$G$9,3,FALSE)</x:f>
        <x:v>1</x:v>
      </x:c>
      <x:c r="Q11" s="28" t="n">
        <x:f>IF(O11="","",IF(G11="P1",(O11-H11)*24,MAX(0,(NETWORKDAYS(INT(H11),INT(O11))-1)*10+(MOD(O11,1)-MOD(H11,1))*24)))</x:f>
        <x:v>0.75</x:v>
      </x:c>
      <x:c r="R11" s="25" t="str">
        <x:f>IF(O11="","Open",IF(Q11&lt;=P11,"Yes","No"))</x:f>
        <x:v>Yes</x:v>
      </x:c>
      <x:c r="S11" s="46" t="n">
        <x:f>IF(G11="P1",H11+VLOOKUP(G11,'SLA &amp; Priority'!$A$6:$G$9,5,FALSE),WORKDAY(INT(H11),VLOOKUP(G11,'SLA &amp; Priority'!$A$6:$G$9,5,FALSE))+MOD(H11,1))</x:f>
        <x:v>46217.416666666664</x:v>
      </x:c>
      <x:c r="T11" s="25" t="str">
        <x:v>Closed</x:v>
      </x:c>
      <x:c r="U11" s="25" t="str">
        <x:v>No</x:v>
      </x:c>
      <x:c r="V11" s="46" t="n">
        <x:v>46217.375</x:v>
      </x:c>
      <x:c r="W11" s="28" t="n">
        <x:f>IF(V11="","",IF(G11="P1",(V11-H11)*24,MAX(0,(NETWORKDAYS(INT(H11),INT(V11))-1)*10+(MOD(V11,1)-MOD(H11,1))*24)))</x:f>
        <x:v>9.000000000058208</x:v>
      </x:c>
      <x:c r="X11" s="25" t="str">
        <x:f>IF(V11="","Open",IF(V11&lt;=S11,"Yes","No"))</x:f>
        <x:v>Yes</x:v>
      </x:c>
      <x:c r="Y11" s="25" t="str">
        <x:f>IF(V11="","Open",IF(AND(N11="Yes",R11="Yes",X11="Yes"),"Yes","No"))</x:f>
        <x:v>Yes</x:v>
      </x:c>
      <x:c r="Z11" s="25" t="str">
        <x:v>Schema validation gap</x:v>
      </x:c>
      <x:c r="AA11" s="49" t="n">
        <x:v>4</x:v>
      </x:c>
      <x:c r="AB11" s="25" t="str">
        <x:v>No</x:v>
      </x:c>
      <x:c r="AC11" s="25" t="str">
        <x:v>No</x:v>
      </x:c>
      <x:c r="AD11" s="25" t="str">
        <x:v>Accepted format documented; parser defect linked to Product for review.</x:v>
      </x:c>
      <x:c r="AE11" s="25" t="str">
        <x:f>VLOOKUP(G11,'SLA &amp; Priority'!$A$6:$G$9,7,FALSE)</x:f>
        <x:v>Every 4 business hours</x:v>
      </x:c>
      <x:c r="AF11" s="46" t="n">
        <x:v>46217.375</x:v>
      </x:c>
      <x:c r="AG11" s="25" t="str">
        <x:v>Yes</x:v>
      </x:c>
    </x:row>
    <x:row r="12" ht="42" customHeight="1">
      <x:c r="A12" s="25" t="str">
        <x:v>AST-2026-0007</x:v>
      </x:c>
      <x:c r="B12" s="25" t="str">
        <x:v>Summit Civic Partners</x:v>
      </x:c>
      <x:c r="C12" s="25" t="str">
        <x:v>Growth</x:v>
      </x:c>
      <x:c r="D12" s="25" t="str">
        <x:v>CSM</x:v>
      </x:c>
      <x:c r="E12" s="25" t="str">
        <x:v>Reporting &amp; Export</x:v>
      </x:c>
      <x:c r="F12" s="25" t="str">
        <x:v>Board export omitted configured custom fields</x:v>
      </x:c>
      <x:c r="G12" s="25" t="str">
        <x:v>P2</x:v>
      </x:c>
      <x:c r="H12" s="46" t="n">
        <x:v>46219.385416666664</x:v>
      </x:c>
      <x:c r="I12" s="25" t="str">
        <x:v>Noah Patel</x:v>
      </x:c>
      <x:c r="J12" s="25" t="str">
        <x:v>Product</x:v>
      </x:c>
      <x:c r="K12" s="46" t="n">
        <x:v>46219.430555555555</x:v>
      </x:c>
      <x:c r="L12" s="28" t="n">
        <x:f>VLOOKUP(G12,'SLA &amp; Priority'!$A$6:$G$9,4,FALSE)</x:f>
        <x:v>1</x:v>
      </x:c>
      <x:c r="M12" s="28" t="n">
        <x:f>IF(K12="","",IF(G12="P1",(K12-H12)*24,MAX(0,(NETWORKDAYS(INT(H12),INT(K12))-1)*10+(MOD(K12,1)-MOD(H12,1))*24)))</x:f>
        <x:v>1.0833333333721384</x:v>
      </x:c>
      <x:c r="N12" s="25" t="str">
        <x:f>IF(K12="","Open",IF(M12&lt;=L12,"Yes","No"))</x:f>
        <x:v>No</x:v>
      </x:c>
      <x:c r="O12" s="46" t="n">
        <x:v>46219.42361111111</x:v>
      </x:c>
      <x:c r="P12" s="28" t="n">
        <x:f>VLOOKUP(G12,'SLA &amp; Priority'!$A$6:$G$9,3,FALSE)</x:f>
        <x:v>1</x:v>
      </x:c>
      <x:c r="Q12" s="28" t="n">
        <x:f>IF(O12="","",IF(G12="P1",(O12-H12)*24,MAX(0,(NETWORKDAYS(INT(H12),INT(O12))-1)*10+(MOD(O12,1)-MOD(H12,1))*24)))</x:f>
        <x:v>0.9166666666860692</x:v>
      </x:c>
      <x:c r="R12" s="25" t="str">
        <x:f>IF(O12="","Open",IF(Q12&lt;=P12,"Yes","No"))</x:f>
        <x:v>Yes</x:v>
      </x:c>
      <x:c r="S12" s="46" t="n">
        <x:f>IF(G12="P1",H12+VLOOKUP(G12,'SLA &amp; Priority'!$A$6:$G$9,5,FALSE),WORKDAY(INT(H12),VLOOKUP(G12,'SLA &amp; Priority'!$A$6:$G$9,5,FALSE))+MOD(H12,1))</x:f>
        <x:v>46220.385416666664</x:v>
      </x:c>
      <x:c r="T12" s="25" t="str">
        <x:v>Closed</x:v>
      </x:c>
      <x:c r="U12" s="25" t="str">
        <x:v>Level 1</x:v>
      </x:c>
      <x:c r="V12" s="46" t="n">
        <x:v>46220.5</x:v>
      </x:c>
      <x:c r="W12" s="28" t="n">
        <x:f>IF(V12="","",IF(G12="P1",(V12-H12)*24,MAX(0,(NETWORKDAYS(INT(H12),INT(V12))-1)*10+(MOD(V12,1)-MOD(H12,1))*24)))</x:f>
        <x:v>12.750000000058208</x:v>
      </x:c>
      <x:c r="X12" s="25" t="str">
        <x:f>IF(V12="","Open",IF(V12&lt;=S12,"Yes","No"))</x:f>
        <x:v>No</x:v>
      </x:c>
      <x:c r="Y12" s="25" t="str">
        <x:f>IF(V12="","Open",IF(AND(N12="Yes",R12="Yes",X12="Yes"),"Yes","No"))</x:f>
        <x:v>No</x:v>
      </x:c>
      <x:c r="Z12" s="25" t="str">
        <x:v>Export field mapping</x:v>
      </x:c>
      <x:c r="AA12" s="49" t="n">
        <x:v>3</x:v>
      </x:c>
      <x:c r="AB12" s="25" t="str">
        <x:v>Yes</x:v>
      </x:c>
      <x:c r="AC12" s="25" t="str">
        <x:v>Yes</x:v>
      </x:c>
      <x:c r="AD12" s="25" t="str">
        <x:v>Workaround delivered; assignment and resolution exceptions reviewed.</x:v>
      </x:c>
      <x:c r="AE12" s="25" t="str">
        <x:f>VLOOKUP(G12,'SLA &amp; Priority'!$A$6:$G$9,7,FALSE)</x:f>
        <x:v>Every 4 business hours</x:v>
      </x:c>
      <x:c r="AF12" s="46" t="n">
        <x:v>46220.5</x:v>
      </x:c>
      <x:c r="AG12" s="25" t="str">
        <x:v>No</x:v>
      </x:c>
    </x:row>
    <x:row r="13" ht="42" customHeight="1">
      <x:c r="A13" s="25" t="str">
        <x:v>AST-2026-0008</x:v>
      </x:c>
      <x:c r="B13" s="25" t="str">
        <x:v>Meridian Manufacturing</x:v>
      </x:c>
      <x:c r="C13" s="25" t="str">
        <x:v>Strategic</x:v>
      </x:c>
      <x:c r="D13" s="25" t="str">
        <x:v>Email</x:v>
      </x:c>
      <x:c r="E13" s="25" t="str">
        <x:v>Billing &amp; Renewal</x:v>
      </x:c>
      <x:c r="F13" s="25" t="str">
        <x:v>Contract amendment was not reflected in the billing portal</x:v>
      </x:c>
      <x:c r="G13" s="25" t="str">
        <x:v>P2</x:v>
      </x:c>
      <x:c r="H13" s="46" t="n">
        <x:v>46223.368055555555</x:v>
      </x:c>
      <x:c r="I13" s="25" t="str">
        <x:v>Jordan Brooks</x:v>
      </x:c>
      <x:c r="J13" s="25" t="str">
        <x:v>Operations</x:v>
      </x:c>
      <x:c r="K13" s="46" t="n">
        <x:v>46223.395833333336</x:v>
      </x:c>
      <x:c r="L13" s="28" t="n">
        <x:f>VLOOKUP(G13,'SLA &amp; Priority'!$A$6:$G$9,4,FALSE)</x:f>
        <x:v>1</x:v>
      </x:c>
      <x:c r="M13" s="28" t="n">
        <x:f>IF(K13="","",IF(G13="P1",(K13-H13)*24,MAX(0,(NETWORKDAYS(INT(H13),INT(K13))-1)*10+(MOD(K13,1)-MOD(H13,1))*24)))</x:f>
        <x:v>0.6666666667442769</x:v>
      </x:c>
      <x:c r="N13" s="25" t="str">
        <x:f>IF(K13="","Open",IF(M13&lt;=L13,"Yes","No"))</x:f>
        <x:v>Yes</x:v>
      </x:c>
      <x:c r="O13" s="46" t="n">
        <x:v>46223.40277777778</x:v>
      </x:c>
      <x:c r="P13" s="28" t="n">
        <x:f>VLOOKUP(G13,'SLA &amp; Priority'!$A$6:$G$9,3,FALSE)</x:f>
        <x:v>1</x:v>
      </x:c>
      <x:c r="Q13" s="28" t="n">
        <x:f>IF(O13="","",IF(G13="P1",(O13-H13)*24,MAX(0,(NETWORKDAYS(INT(H13),INT(O13))-1)*10+(MOD(O13,1)-MOD(H13,1))*24)))</x:f>
        <x:v>0.8333333334303461</x:v>
      </x:c>
      <x:c r="R13" s="25" t="str">
        <x:f>IF(O13="","Open",IF(Q13&lt;=P13,"Yes","No"))</x:f>
        <x:v>Yes</x:v>
      </x:c>
      <x:c r="S13" s="46" t="n">
        <x:f>IF(G13="P1",H13+VLOOKUP(G13,'SLA &amp; Priority'!$A$6:$G$9,5,FALSE),WORKDAY(INT(H13),VLOOKUP(G13,'SLA &amp; Priority'!$A$6:$G$9,5,FALSE))+MOD(H13,1))</x:f>
        <x:v>46224.368055555555</x:v>
      </x:c>
      <x:c r="T13" s="25" t="str">
        <x:v>Closed</x:v>
      </x:c>
      <x:c r="U13" s="25" t="str">
        <x:v>Level 2</x:v>
      </x:c>
      <x:c r="V13" s="46" t="n">
        <x:v>46224.34722222222</x:v>
      </x:c>
      <x:c r="W13" s="28" t="n">
        <x:f>IF(V13="","",IF(G13="P1",(V13-H13)*24,MAX(0,(NETWORKDAYS(INT(H13),INT(V13))-1)*10+(MOD(V13,1)-MOD(H13,1))*24)))</x:f>
        <x:v>9.499999999941792</x:v>
      </x:c>
      <x:c r="X13" s="25" t="str">
        <x:f>IF(V13="","Open",IF(V13&lt;=S13,"Yes","No"))</x:f>
        <x:v>Yes</x:v>
      </x:c>
      <x:c r="Y13" s="25" t="str">
        <x:f>IF(V13="","Open",IF(AND(N13="Yes",R13="Yes",X13="Yes"),"Yes","No"))</x:f>
        <x:v>Yes</x:v>
      </x:c>
      <x:c r="Z13" s="25" t="str">
        <x:v>CRM-to-billing handoff</x:v>
      </x:c>
      <x:c r="AA13" s="49" t="n">
        <x:v>5</x:v>
      </x:c>
      <x:c r="AB13" s="25" t="str">
        <x:v>Yes</x:v>
      </x:c>
      <x:c r="AC13" s="25" t="str">
        <x:v>No</x:v>
      </x:c>
      <x:c r="AD13" s="25" t="str">
        <x:v>Portal corrected and renewal team confirmed the revised commercial terms.</x:v>
      </x:c>
      <x:c r="AE13" s="25" t="str">
        <x:f>VLOOKUP(G13,'SLA &amp; Priority'!$A$6:$G$9,7,FALSE)</x:f>
        <x:v>Every 4 business hours</x:v>
      </x:c>
      <x:c r="AF13" s="46" t="n">
        <x:v>46224.34722222222</x:v>
      </x:c>
      <x:c r="AG13" s="25" t="str">
        <x:v>Yes</x:v>
      </x:c>
    </x:row>
    <x:row r="14" ht="42" customHeight="1">
      <x:c r="A14" s="25" t="str">
        <x:v>AST-2026-0009</x:v>
      </x:c>
      <x:c r="B14" s="25" t="str">
        <x:v>Atlas &amp; Finch</x:v>
      </x:c>
      <x:c r="C14" s="25" t="str">
        <x:v>Standard</x:v>
      </x:c>
      <x:c r="D14" s="25" t="str">
        <x:v>Chat</x:v>
      </x:c>
      <x:c r="E14" s="25" t="str">
        <x:v>Integration/API</x:v>
      </x:c>
      <x:c r="F14" s="25" t="str">
        <x:v>Webhook signature setup instructions were unclear</x:v>
      </x:c>
      <x:c r="G14" s="25" t="str">
        <x:v>P3</x:v>
      </x:c>
      <x:c r="H14" s="46" t="n">
        <x:v>46210.427083333336</x:v>
      </x:c>
      <x:c r="I14" s="25" t="str">
        <x:v>Maya Chen</x:v>
      </x:c>
      <x:c r="J14" s="25" t="str">
        <x:v>Support</x:v>
      </x:c>
      <x:c r="K14" s="46" t="n">
        <x:v>46210.5</x:v>
      </x:c>
      <x:c r="L14" s="28" t="n">
        <x:f>VLOOKUP(G14,'SLA &amp; Priority'!$A$6:$G$9,4,FALSE)</x:f>
        <x:v>4</x:v>
      </x:c>
      <x:c r="M14" s="28" t="n">
        <x:f>IF(K14="","",IF(G14="P1",(K14-H14)*24,MAX(0,(NETWORKDAYS(INT(H14),INT(K14))-1)*10+(MOD(K14,1)-MOD(H14,1))*24)))</x:f>
        <x:v>1.7499999999417923</x:v>
      </x:c>
      <x:c r="N14" s="25" t="str">
        <x:f>IF(K14="","Open",IF(M14&lt;=L14,"Yes","No"))</x:f>
        <x:v>Yes</x:v>
      </x:c>
      <x:c r="O14" s="46" t="n">
        <x:v>46210.489583333336</x:v>
      </x:c>
      <x:c r="P14" s="28" t="n">
        <x:f>VLOOKUP(G14,'SLA &amp; Priority'!$A$6:$G$9,3,FALSE)</x:f>
        <x:v>4</x:v>
      </x:c>
      <x:c r="Q14" s="28" t="n">
        <x:f>IF(O14="","",IF(G14="P1",(O14-H14)*24,MAX(0,(NETWORKDAYS(INT(H14),INT(O14))-1)*10+(MOD(O14,1)-MOD(H14,1))*24)))</x:f>
        <x:v>1.5</x:v>
      </x:c>
      <x:c r="R14" s="25" t="str">
        <x:f>IF(O14="","Open",IF(Q14&lt;=P14,"Yes","No"))</x:f>
        <x:v>Yes</x:v>
      </x:c>
      <x:c r="S14" s="46" t="n">
        <x:f>IF(G14="P1",H14+VLOOKUP(G14,'SLA &amp; Priority'!$A$6:$G$9,5,FALSE),WORKDAY(INT(H14),VLOOKUP(G14,'SLA &amp; Priority'!$A$6:$G$9,5,FALSE))+MOD(H14,1))</x:f>
        <x:v>46213.427083333336</x:v>
      </x:c>
      <x:c r="T14" s="25" t="str">
        <x:v>Closed</x:v>
      </x:c>
      <x:c r="U14" s="25" t="str">
        <x:v>No</x:v>
      </x:c>
      <x:c r="V14" s="46" t="n">
        <x:v>46212.583333333336</x:v>
      </x:c>
      <x:c r="W14" s="28" t="n">
        <x:f>IF(V14="","",IF(G14="P1",(V14-H14)*24,MAX(0,(NETWORKDAYS(INT(H14),INT(V14))-1)*10+(MOD(V14,1)-MOD(H14,1))*24)))</x:f>
        <x:v>23.75</x:v>
      </x:c>
      <x:c r="X14" s="25" t="str">
        <x:f>IF(V14="","Open",IF(V14&lt;=S14,"Yes","No"))</x:f>
        <x:v>Yes</x:v>
      </x:c>
      <x:c r="Y14" s="25" t="str">
        <x:f>IF(V14="","Open",IF(AND(N14="Yes",R14="Yes",X14="Yes"),"Yes","No"))</x:f>
        <x:v>Yes</x:v>
      </x:c>
      <x:c r="Z14" s="25" t="str">
        <x:v>Setup guidance gap</x:v>
      </x:c>
      <x:c r="AA14" s="49" t="n">
        <x:v>5</x:v>
      </x:c>
      <x:c r="AB14" s="25" t="str">
        <x:v>No</x:v>
      </x:c>
      <x:c r="AC14" s="25" t="str">
        <x:v>No</x:v>
      </x:c>
      <x:c r="AD14" s="25" t="str">
        <x:v>Guidance provided and knowledge article correction submitted.</x:v>
      </x:c>
      <x:c r="AE14" s="25" t="str">
        <x:f>VLOOKUP(G14,'SLA &amp; Priority'!$A$6:$G$9,7,FALSE)</x:f>
        <x:v>Daily</x:v>
      </x:c>
      <x:c r="AF14" s="46" t="n">
        <x:v>46212.583333333336</x:v>
      </x:c>
      <x:c r="AG14" s="25" t="str">
        <x:v>Yes</x:v>
      </x:c>
    </x:row>
    <x:row r="15" ht="42" customHeight="1">
      <x:c r="A15" s="25" t="str">
        <x:v>AST-2026-0010</x:v>
      </x:c>
      <x:c r="B15" s="25" t="str">
        <x:v>Harbor Foods</x:v>
      </x:c>
      <x:c r="C15" s="25" t="str">
        <x:v>Growth</x:v>
      </x:c>
      <x:c r="D15" s="25" t="str">
        <x:v>Email</x:v>
      </x:c>
      <x:c r="E15" s="25" t="str">
        <x:v>Access &amp; Permissions</x:v>
      </x:c>
      <x:c r="F15" s="25" t="str">
        <x:v>An analyst could not download an approved report</x:v>
      </x:c>
      <x:c r="G15" s="25" t="str">
        <x:v>P3</x:v>
      </x:c>
      <x:c r="H15" s="46" t="n">
        <x:v>46212.40277777778</x:v>
      </x:c>
      <x:c r="I15" s="25" t="str">
        <x:v>Maya Chen</x:v>
      </x:c>
      <x:c r="J15" s="25" t="str">
        <x:v>Support</x:v>
      </x:c>
      <x:c r="K15" s="46" t="n">
        <x:v>46212.59027777778</x:v>
      </x:c>
      <x:c r="L15" s="28" t="n">
        <x:f>VLOOKUP(G15,'SLA &amp; Priority'!$A$6:$G$9,4,FALSE)</x:f>
        <x:v>4</x:v>
      </x:c>
      <x:c r="M15" s="28" t="n">
        <x:f>IF(K15="","",IF(G15="P1",(K15-H15)*24,MAX(0,(NETWORKDAYS(INT(H15),INT(K15))-1)*10+(MOD(K15,1)-MOD(H15,1))*24)))</x:f>
        <x:v>4.5</x:v>
      </x:c>
      <x:c r="N15" s="25" t="str">
        <x:f>IF(K15="","Open",IF(M15&lt;=L15,"Yes","No"))</x:f>
        <x:v>No</x:v>
      </x:c>
      <x:c r="O15" s="46" t="n">
        <x:v>46212.555555555555</x:v>
      </x:c>
      <x:c r="P15" s="28" t="n">
        <x:f>VLOOKUP(G15,'SLA &amp; Priority'!$A$6:$G$9,3,FALSE)</x:f>
        <x:v>4</x:v>
      </x:c>
      <x:c r="Q15" s="28" t="n">
        <x:f>IF(O15="","",IF(G15="P1",(O15-H15)*24,MAX(0,(NETWORKDAYS(INT(H15),INT(O15))-1)*10+(MOD(O15,1)-MOD(H15,1))*24)))</x:f>
        <x:v>3.666666666569654</x:v>
      </x:c>
      <x:c r="R15" s="25" t="str">
        <x:f>IF(O15="","Open",IF(Q15&lt;=P15,"Yes","No"))</x:f>
        <x:v>Yes</x:v>
      </x:c>
      <x:c r="S15" s="46" t="n">
        <x:f>IF(G15="P1",H15+VLOOKUP(G15,'SLA &amp; Priority'!$A$6:$G$9,5,FALSE),WORKDAY(INT(H15),VLOOKUP(G15,'SLA &amp; Priority'!$A$6:$G$9,5,FALSE))+MOD(H15,1))</x:f>
        <x:v>46217.40277777778</x:v>
      </x:c>
      <x:c r="T15" s="25" t="str">
        <x:v>Closed</x:v>
      </x:c>
      <x:c r="U15" s="25" t="str">
        <x:v>Level 1</x:v>
      </x:c>
      <x:c r="V15" s="46" t="n">
        <x:v>46217.416666666664</x:v>
      </x:c>
      <x:c r="W15" s="28" t="n">
        <x:f>IF(V15="","",IF(G15="P1",(V15-H15)*24,MAX(0,(NETWORKDAYS(INT(H15),INT(V15))-1)*10+(MOD(V15,1)-MOD(H15,1))*24)))</x:f>
        <x:v>30.333333333197515</x:v>
      </x:c>
      <x:c r="X15" s="25" t="str">
        <x:f>IF(V15="","Open",IF(V15&lt;=S15,"Yes","No"))</x:f>
        <x:v>No</x:v>
      </x:c>
      <x:c r="Y15" s="25" t="str">
        <x:f>IF(V15="","Open",IF(AND(N15="Yes",R15="Yes",X15="Yes"),"Yes","No"))</x:f>
        <x:v>No</x:v>
      </x:c>
      <x:c r="Z15" s="25" t="str">
        <x:v>Permission documentation gap</x:v>
      </x:c>
      <x:c r="AA15" s="49" t="n">
        <x:v>4</x:v>
      </x:c>
      <x:c r="AB15" s="25" t="str">
        <x:v>Yes</x:v>
      </x:c>
      <x:c r="AC15" s="25" t="str">
        <x:v>No</x:v>
      </x:c>
      <x:c r="AD15" s="25" t="str">
        <x:v>Permission corrected; late assignment and resolution reviewed with queue owner.</x:v>
      </x:c>
      <x:c r="AE15" s="25" t="str">
        <x:f>VLOOKUP(G15,'SLA &amp; Priority'!$A$6:$G$9,7,FALSE)</x:f>
        <x:v>Daily</x:v>
      </x:c>
      <x:c r="AF15" s="46" t="n">
        <x:v>46217.416666666664</x:v>
      </x:c>
      <x:c r="AG15" s="25" t="str">
        <x:v>Yes</x:v>
      </x:c>
    </x:row>
    <x:row r="16" ht="42" customHeight="1">
      <x:c r="A16" s="25" t="str">
        <x:v>AST-2026-0011</x:v>
      </x:c>
      <x:c r="B16" s="25" t="str">
        <x:v>Cedar Works</x:v>
      </x:c>
      <x:c r="C16" s="25" t="str">
        <x:v>Standard</x:v>
      </x:c>
      <x:c r="D16" s="25" t="str">
        <x:v>Support Portal</x:v>
      </x:c>
      <x:c r="E16" s="25" t="str">
        <x:v>Reporting &amp; Export</x:v>
      </x:c>
      <x:c r="F16" s="25" t="str">
        <x:v>CSV dates exported in UTC without a label</x:v>
      </x:c>
      <x:c r="G16" s="25" t="str">
        <x:v>P3</x:v>
      </x:c>
      <x:c r="H16" s="46" t="n">
        <x:v>46217.354166666664</x:v>
      </x:c>
      <x:c r="I16" s="25" t="str">
        <x:v>Maya Chen</x:v>
      </x:c>
      <x:c r="J16" s="25" t="str">
        <x:v>Support</x:v>
      </x:c>
      <x:c r="K16" s="46" t="n">
        <x:v>46217.40625</x:v>
      </x:c>
      <x:c r="L16" s="28" t="n">
        <x:f>VLOOKUP(G16,'SLA &amp; Priority'!$A$6:$G$9,4,FALSE)</x:f>
        <x:v>4</x:v>
      </x:c>
      <x:c r="M16" s="28" t="n">
        <x:f>IF(K16="","",IF(G16="P1",(K16-H16)*24,MAX(0,(NETWORKDAYS(INT(H16),INT(K16))-1)*10+(MOD(K16,1)-MOD(H16,1))*24)))</x:f>
        <x:v>1.2500000000582077</x:v>
      </x:c>
      <x:c r="N16" s="25" t="str">
        <x:f>IF(K16="","Open",IF(M16&lt;=L16,"Yes","No"))</x:f>
        <x:v>Yes</x:v>
      </x:c>
      <x:c r="O16" s="46" t="n">
        <x:v>46217.416666666664</x:v>
      </x:c>
      <x:c r="P16" s="28" t="n">
        <x:f>VLOOKUP(G16,'SLA &amp; Priority'!$A$6:$G$9,3,FALSE)</x:f>
        <x:v>4</x:v>
      </x:c>
      <x:c r="Q16" s="28" t="n">
        <x:f>IF(O16="","",IF(G16="P1",(O16-H16)*24,MAX(0,(NETWORKDAYS(INT(H16),INT(O16))-1)*10+(MOD(O16,1)-MOD(H16,1))*24)))</x:f>
        <x:v>1.5</x:v>
      </x:c>
      <x:c r="R16" s="25" t="str">
        <x:f>IF(O16="","Open",IF(Q16&lt;=P16,"Yes","No"))</x:f>
        <x:v>Yes</x:v>
      </x:c>
      <x:c r="S16" s="46" t="n">
        <x:f>IF(G16="P1",H16+VLOOKUP(G16,'SLA &amp; Priority'!$A$6:$G$9,5,FALSE),WORKDAY(INT(H16),VLOOKUP(G16,'SLA &amp; Priority'!$A$6:$G$9,5,FALSE))+MOD(H16,1))</x:f>
        <x:v>46220.354166666664</x:v>
      </x:c>
      <x:c r="T16" s="25" t="str">
        <x:v>Closed</x:v>
      </x:c>
      <x:c r="U16" s="25" t="str">
        <x:v>No</x:v>
      </x:c>
      <x:c r="V16" s="46" t="n">
        <x:v>46219.625</x:v>
      </x:c>
      <x:c r="W16" s="28" t="n">
        <x:f>IF(V16="","",IF(G16="P1",(V16-H16)*24,MAX(0,(NETWORKDAYS(INT(H16),INT(V16))-1)*10+(MOD(V16,1)-MOD(H16,1))*24)))</x:f>
        <x:v>26.500000000058208</x:v>
      </x:c>
      <x:c r="X16" s="25" t="str">
        <x:f>IF(V16="","Open",IF(V16&lt;=S16,"Yes","No"))</x:f>
        <x:v>Yes</x:v>
      </x:c>
      <x:c r="Y16" s="25" t="str">
        <x:f>IF(V16="","Open",IF(AND(N16="Yes",R16="Yes",X16="Yes"),"Yes","No"))</x:f>
        <x:v>Yes</x:v>
      </x:c>
      <x:c r="Z16" s="25" t="str">
        <x:v>Time-zone labeling gap</x:v>
      </x:c>
      <x:c r="AA16" s="49" t="n">
        <x:v>4</x:v>
      </x:c>
      <x:c r="AB16" s="25" t="str">
        <x:v>No</x:v>
      </x:c>
      <x:c r="AC16" s="25" t="str">
        <x:v>No</x:v>
      </x:c>
      <x:c r="AD16" s="25" t="str">
        <x:v>Field behavior explained and labeling improvement added to the Product backlog.</x:v>
      </x:c>
      <x:c r="AE16" s="25" t="str">
        <x:f>VLOOKUP(G16,'SLA &amp; Priority'!$A$6:$G$9,7,FALSE)</x:f>
        <x:v>Daily</x:v>
      </x:c>
      <x:c r="AF16" s="46" t="n">
        <x:v>46219.625</x:v>
      </x:c>
      <x:c r="AG16" s="25" t="str">
        <x:v>Yes</x:v>
      </x:c>
    </x:row>
    <x:row r="17" ht="42" customHeight="1">
      <x:c r="A17" s="25" t="str">
        <x:v>AST-2026-0012</x:v>
      </x:c>
      <x:c r="B17" s="25" t="str">
        <x:v>Everwell Clinics</x:v>
      </x:c>
      <x:c r="C17" s="25" t="str">
        <x:v>Growth</x:v>
      </x:c>
      <x:c r="D17" s="25" t="str">
        <x:v>Account Manager</x:v>
      </x:c>
      <x:c r="E17" s="25" t="str">
        <x:v>Billing &amp; Renewal</x:v>
      </x:c>
      <x:c r="F17" s="25" t="str">
        <x:v>Tax-exemption update remained pending after approval</x:v>
      </x:c>
      <x:c r="G17" s="25" t="str">
        <x:v>P3</x:v>
      </x:c>
      <x:c r="H17" s="46" t="n">
        <x:v>46220.381944444445</x:v>
      </x:c>
      <x:c r="I17" s="25" t="str">
        <x:v>Jordan Brooks</x:v>
      </x:c>
      <x:c r="J17" s="25" t="str">
        <x:v>Operations</x:v>
      </x:c>
      <x:c r="K17" s="46" t="n">
        <x:v>46220.4375</x:v>
      </x:c>
      <x:c r="L17" s="28" t="n">
        <x:f>VLOOKUP(G17,'SLA &amp; Priority'!$A$6:$G$9,4,FALSE)</x:f>
        <x:v>4</x:v>
      </x:c>
      <x:c r="M17" s="28" t="n">
        <x:f>IF(K17="","",IF(G17="P1",(K17-H17)*24,MAX(0,(NETWORKDAYS(INT(H17),INT(K17))-1)*10+(MOD(K17,1)-MOD(H17,1))*24)))</x:f>
        <x:v>1.3333333333139308</x:v>
      </x:c>
      <x:c r="N17" s="25" t="str">
        <x:f>IF(K17="","Open",IF(M17&lt;=L17,"Yes","No"))</x:f>
        <x:v>Yes</x:v>
      </x:c>
      <x:c r="O17" s="46" t="n">
        <x:v>46220.458333333336</x:v>
      </x:c>
      <x:c r="P17" s="28" t="n">
        <x:f>VLOOKUP(G17,'SLA &amp; Priority'!$A$6:$G$9,3,FALSE)</x:f>
        <x:v>4</x:v>
      </x:c>
      <x:c r="Q17" s="28" t="n">
        <x:f>IF(O17="","",IF(G17="P1",(O17-H17)*24,MAX(0,(NETWORKDAYS(INT(H17),INT(O17))-1)*10+(MOD(O17,1)-MOD(H17,1))*24)))</x:f>
        <x:v>1.8333333333721384</x:v>
      </x:c>
      <x:c r="R17" s="25" t="str">
        <x:f>IF(O17="","Open",IF(Q17&lt;=P17,"Yes","No"))</x:f>
        <x:v>Yes</x:v>
      </x:c>
      <x:c r="S17" s="46" t="n">
        <x:f>IF(G17="P1",H17+VLOOKUP(G17,'SLA &amp; Priority'!$A$6:$G$9,5,FALSE),WORKDAY(INT(H17),VLOOKUP(G17,'SLA &amp; Priority'!$A$6:$G$9,5,FALSE))+MOD(H17,1))</x:f>
        <x:v>46225.381944444445</x:v>
      </x:c>
      <x:c r="T17" s="25" t="str">
        <x:v>Closed</x:v>
      </x:c>
      <x:c r="U17" s="25" t="str">
        <x:v>No</x:v>
      </x:c>
      <x:c r="V17" s="46" t="n">
        <x:v>46225.354166666664</x:v>
      </x:c>
      <x:c r="W17" s="28" t="n">
        <x:f>IF(V17="","",IF(G17="P1",(V17-H17)*24,MAX(0,(NETWORKDAYS(INT(H17),INT(V17))-1)*10+(MOD(V17,1)-MOD(H17,1))*24)))</x:f>
        <x:v>29.333333333255723</x:v>
      </x:c>
      <x:c r="X17" s="25" t="str">
        <x:f>IF(V17="","Open",IF(V17&lt;=S17,"Yes","No"))</x:f>
        <x:v>Yes</x:v>
      </x:c>
      <x:c r="Y17" s="25" t="str">
        <x:f>IF(V17="","Open",IF(AND(N17="Yes",R17="Yes",X17="Yes"),"Yes","No"))</x:f>
        <x:v>Yes</x:v>
      </x:c>
      <x:c r="Z17" s="25" t="str">
        <x:v>CRM-to-billing handoff</x:v>
      </x:c>
      <x:c r="AA17" s="49" t="n">
        <x:v>5</x:v>
      </x:c>
      <x:c r="AB17" s="25" t="str">
        <x:v>Yes</x:v>
      </x:c>
      <x:c r="AC17" s="25" t="str">
        <x:v>No</x:v>
      </x:c>
      <x:c r="AD17" s="25" t="str">
        <x:v>Account updated and billing control owner added a required verification step.</x:v>
      </x:c>
      <x:c r="AE17" s="25" t="str">
        <x:f>VLOOKUP(G17,'SLA &amp; Priority'!$A$6:$G$9,7,FALSE)</x:f>
        <x:v>Daily</x:v>
      </x:c>
      <x:c r="AF17" s="46" t="n">
        <x:v>46225.354166666664</x:v>
      </x:c>
      <x:c r="AG17" s="25" t="str">
        <x:v>Yes</x:v>
      </x:c>
    </x:row>
    <x:row r="18" ht="42" customHeight="1">
      <x:c r="A18" s="25" t="str">
        <x:v>AST-2026-0013</x:v>
      </x:c>
      <x:c r="B18" s="25" t="str">
        <x:v>Lumen Advisory</x:v>
      </x:c>
      <x:c r="C18" s="25" t="str">
        <x:v>Standard</x:v>
      </x:c>
      <x:c r="D18" s="25" t="str">
        <x:v>Support Portal</x:v>
      </x:c>
      <x:c r="E18" s="25" t="str">
        <x:v>Integration/API</x:v>
      </x:c>
      <x:c r="F18" s="25" t="str">
        <x:v>Sandbox connection returned a generic error</x:v>
      </x:c>
      <x:c r="G18" s="25" t="str">
        <x:v>P3</x:v>
      </x:c>
      <x:c r="H18" s="46" t="n">
        <x:v>46224.4375</x:v>
      </x:c>
      <x:c r="I18" s="25" t="str">
        <x:v>Noah Patel</x:v>
      </x:c>
      <x:c r="J18" s="25" t="str">
        <x:v>Product</x:v>
      </x:c>
      <x:c r="K18" s="46" t="n">
        <x:v>46224.541666666664</x:v>
      </x:c>
      <x:c r="L18" s="28" t="n">
        <x:f>VLOOKUP(G18,'SLA &amp; Priority'!$A$6:$G$9,4,FALSE)</x:f>
        <x:v>4</x:v>
      </x:c>
      <x:c r="M18" s="28" t="n">
        <x:f>IF(K18="","",IF(G18="P1",(K18-H18)*24,MAX(0,(NETWORKDAYS(INT(H18),INT(K18))-1)*10+(MOD(K18,1)-MOD(H18,1))*24)))</x:f>
        <x:v>2.4999999999417923</x:v>
      </x:c>
      <x:c r="N18" s="25" t="str">
        <x:f>IF(K18="","Open",IF(M18&lt;=L18,"Yes","No"))</x:f>
        <x:v>Yes</x:v>
      </x:c>
      <x:c r="O18" s="46" t="n">
        <x:v>46224.5625</x:v>
      </x:c>
      <x:c r="P18" s="28" t="n">
        <x:f>VLOOKUP(G18,'SLA &amp; Priority'!$A$6:$G$9,3,FALSE)</x:f>
        <x:v>4</x:v>
      </x:c>
      <x:c r="Q18" s="28" t="n">
        <x:f>IF(O18="","",IF(G18="P1",(O18-H18)*24,MAX(0,(NETWORKDAYS(INT(H18),INT(O18))-1)*10+(MOD(O18,1)-MOD(H18,1))*24)))</x:f>
        <x:v>3</x:v>
      </x:c>
      <x:c r="R18" s="25" t="str">
        <x:f>IF(O18="","Open",IF(Q18&lt;=P18,"Yes","No"))</x:f>
        <x:v>Yes</x:v>
      </x:c>
      <x:c r="S18" s="46" t="n">
        <x:f>IF(G18="P1",H18+VLOOKUP(G18,'SLA &amp; Priority'!$A$6:$G$9,5,FALSE),WORKDAY(INT(H18),VLOOKUP(G18,'SLA &amp; Priority'!$A$6:$G$9,5,FALSE))+MOD(H18,1))</x:f>
        <x:v>46227.4375</x:v>
      </x:c>
      <x:c r="T18" s="25" t="str">
        <x:v>Closed</x:v>
      </x:c>
      <x:c r="U18" s="25" t="str">
        <x:v>Level 1</x:v>
      </x:c>
      <x:c r="V18" s="46" t="n">
        <x:v>46227.666666666664</x:v>
      </x:c>
      <x:c r="W18" s="28" t="n">
        <x:f>IF(V18="","",IF(G18="P1",(V18-H18)*24,MAX(0,(NETWORKDAYS(INT(H18),INT(V18))-1)*10+(MOD(V18,1)-MOD(H18,1))*24)))</x:f>
        <x:v>35.49999999994179</x:v>
      </x:c>
      <x:c r="X18" s="25" t="str">
        <x:f>IF(V18="","Open",IF(V18&lt;=S18,"Yes","No"))</x:f>
        <x:v>No</x:v>
      </x:c>
      <x:c r="Y18" s="25" t="str">
        <x:f>IF(V18="","Open",IF(AND(N18="Yes",R18="Yes",X18="Yes"),"Yes","No"))</x:f>
        <x:v>No</x:v>
      </x:c>
      <x:c r="Z18" s="25" t="str">
        <x:v>Generic diagnostics</x:v>
      </x:c>
      <x:c r="AA18" s="49" t="n">
        <x:v>3</x:v>
      </x:c>
      <x:c r="AB18" s="25" t="str">
        <x:v>Yes</x:v>
      </x:c>
      <x:c r="AC18" s="25" t="str">
        <x:v>Yes</x:v>
      </x:c>
      <x:c r="AD18" s="25" t="str">
        <x:v>Diagnostic logs identified a known setup issue; repeat pattern sent to VOC review.</x:v>
      </x:c>
      <x:c r="AE18" s="25" t="str">
        <x:f>VLOOKUP(G18,'SLA &amp; Priority'!$A$6:$G$9,7,FALSE)</x:f>
        <x:v>Daily</x:v>
      </x:c>
      <x:c r="AF18" s="46" t="n">
        <x:v>46227.666666666664</x:v>
      </x:c>
      <x:c r="AG18" s="25" t="str">
        <x:v>Yes</x:v>
      </x:c>
    </x:row>
    <x:row r="19" ht="42" customHeight="1">
      <x:c r="A19" s="25" t="str">
        <x:v>AST-2026-0014</x:v>
      </x:c>
      <x:c r="B19" s="25" t="str">
        <x:v>ForgeWorks</x:v>
      </x:c>
      <x:c r="C19" s="25" t="str">
        <x:v>Growth</x:v>
      </x:c>
      <x:c r="D19" s="25" t="str">
        <x:v>Chat</x:v>
      </x:c>
      <x:c r="E19" s="25" t="str">
        <x:v>Access &amp; Permissions</x:v>
      </x:c>
      <x:c r="F19" s="25" t="str">
        <x:v>A new user received the wrong default role</x:v>
      </x:c>
      <x:c r="G19" s="25" t="str">
        <x:v>P3</x:v>
      </x:c>
      <x:c r="H19" s="46" t="n">
        <x:v>46225.37152777778</x:v>
      </x:c>
      <x:c r="I19" s="25" t="str">
        <x:v>Maya Chen</x:v>
      </x:c>
      <x:c r="J19" s="25" t="str">
        <x:v>Support</x:v>
      </x:c>
      <x:c r="K19" s="46" t="n">
        <x:v>46225.38888888889</x:v>
      </x:c>
      <x:c r="L19" s="28" t="n">
        <x:f>VLOOKUP(G19,'SLA &amp; Priority'!$A$6:$G$9,4,FALSE)</x:f>
        <x:v>4</x:v>
      </x:c>
      <x:c r="M19" s="28" t="n">
        <x:f>IF(K19="","",IF(G19="P1",(K19-H19)*24,MAX(0,(NETWORKDAYS(INT(H19),INT(K19))-1)*10+(MOD(K19,1)-MOD(H19,1))*24)))</x:f>
        <x:v>0.41666666662786156</x:v>
      </x:c>
      <x:c r="N19" s="25" t="str">
        <x:f>IF(K19="","Open",IF(M19&lt;=L19,"Yes","No"))</x:f>
        <x:v>Yes</x:v>
      </x:c>
      <x:c r="O19" s="46" t="n">
        <x:v>46225.395833333336</x:v>
      </x:c>
      <x:c r="P19" s="28" t="n">
        <x:f>VLOOKUP(G19,'SLA &amp; Priority'!$A$6:$G$9,3,FALSE)</x:f>
        <x:v>4</x:v>
      </x:c>
      <x:c r="Q19" s="28" t="n">
        <x:f>IF(O19="","",IF(G19="P1",(O19-H19)*24,MAX(0,(NETWORKDAYS(INT(H19),INT(O19))-1)*10+(MOD(O19,1)-MOD(H19,1))*24)))</x:f>
        <x:v>0.5833333333139308</x:v>
      </x:c>
      <x:c r="R19" s="25" t="str">
        <x:f>IF(O19="","Open",IF(Q19&lt;=P19,"Yes","No"))</x:f>
        <x:v>Yes</x:v>
      </x:c>
      <x:c r="S19" s="46" t="n">
        <x:f>IF(G19="P1",H19+VLOOKUP(G19,'SLA &amp; Priority'!$A$6:$G$9,5,FALSE),WORKDAY(INT(H19),VLOOKUP(G19,'SLA &amp; Priority'!$A$6:$G$9,5,FALSE))+MOD(H19,1))</x:f>
        <x:v>46230.37152777778</x:v>
      </x:c>
      <x:c r="T19" s="25" t="str">
        <x:v>Closed</x:v>
      </x:c>
      <x:c r="U19" s="25" t="str">
        <x:v>No</x:v>
      </x:c>
      <x:c r="V19" s="46" t="n">
        <x:v>46227.458333333336</x:v>
      </x:c>
      <x:c r="W19" s="28" t="n">
        <x:f>IF(V19="","",IF(G19="P1",(V19-H19)*24,MAX(0,(NETWORKDAYS(INT(H19),INT(V19))-1)*10+(MOD(V19,1)-MOD(H19,1))*24)))</x:f>
        <x:v>22.08333333331393</x:v>
      </x:c>
      <x:c r="X19" s="25" t="str">
        <x:f>IF(V19="","Open",IF(V19&lt;=S19,"Yes","No"))</x:f>
        <x:v>Yes</x:v>
      </x:c>
      <x:c r="Y19" s="25" t="str">
        <x:f>IF(V19="","Open",IF(AND(N19="Yes",R19="Yes",X19="Yes"),"Yes","No"))</x:f>
        <x:v>Yes</x:v>
      </x:c>
      <x:c r="Z19" s="25" t="str">
        <x:v>Default role configuration</x:v>
      </x:c>
      <x:c r="AA19" s="49" t="n">
        <x:v>5</x:v>
      </x:c>
      <x:c r="AB19" s="25" t="str">
        <x:v>No</x:v>
      </x:c>
      <x:c r="AC19" s="25" t="str">
        <x:v>No</x:v>
      </x:c>
      <x:c r="AD19" s="25" t="str">
        <x:v>Default role corrected and administrator setup guidance shared.</x:v>
      </x:c>
      <x:c r="AE19" s="25" t="str">
        <x:f>VLOOKUP(G19,'SLA &amp; Priority'!$A$6:$G$9,7,FALSE)</x:f>
        <x:v>Daily</x:v>
      </x:c>
      <x:c r="AF19" s="46" t="n">
        <x:v>46227.458333333336</x:v>
      </x:c>
      <x:c r="AG19" s="25" t="str">
        <x:v>Yes</x:v>
      </x:c>
    </x:row>
    <x:row r="20" ht="42" customHeight="1">
      <x:c r="A20" s="25" t="str">
        <x:v>AST-2026-0015</x:v>
      </x:c>
      <x:c r="B20" s="25" t="str">
        <x:v>Oak Ridge Services</x:v>
      </x:c>
      <x:c r="C20" s="25" t="str">
        <x:v>Standard</x:v>
      </x:c>
      <x:c r="D20" s="25" t="str">
        <x:v>Email</x:v>
      </x:c>
      <x:c r="E20" s="25" t="str">
        <x:v>Reporting &amp; Export</x:v>
      </x:c>
      <x:c r="F20" s="25" t="str">
        <x:v>A scheduled report arrived empty</x:v>
      </x:c>
      <x:c r="G20" s="25" t="str">
        <x:v>P3</x:v>
      </x:c>
      <x:c r="H20" s="46" t="n">
        <x:v>46226.39236111111</x:v>
      </x:c>
      <x:c r="I20" s="25" t="str">
        <x:v>Eli Ramirez</x:v>
      </x:c>
      <x:c r="J20" s="25" t="str">
        <x:v>Engineering</x:v>
      </x:c>
      <x:c r="K20" s="46" t="n">
        <x:v>46226.458333333336</x:v>
      </x:c>
      <x:c r="L20" s="28" t="n">
        <x:f>VLOOKUP(G20,'SLA &amp; Priority'!$A$6:$G$9,4,FALSE)</x:f>
        <x:v>4</x:v>
      </x:c>
      <x:c r="M20" s="28" t="n">
        <x:f>IF(K20="","",IF(G20="P1",(K20-H20)*24,MAX(0,(NETWORKDAYS(INT(H20),INT(K20))-1)*10+(MOD(K20,1)-MOD(H20,1))*24)))</x:f>
        <x:v>1.583333333430346</x:v>
      </x:c>
      <x:c r="N20" s="25" t="str">
        <x:f>IF(K20="","Open",IF(M20&lt;=L20,"Yes","No"))</x:f>
        <x:v>Yes</x:v>
      </x:c>
      <x:c r="O20" s="46" t="n">
        <x:v>46226.48611111111</x:v>
      </x:c>
      <x:c r="P20" s="28" t="n">
        <x:f>VLOOKUP(G20,'SLA &amp; Priority'!$A$6:$G$9,3,FALSE)</x:f>
        <x:v>4</x:v>
      </x:c>
      <x:c r="Q20" s="28" t="n">
        <x:f>IF(O20="","",IF(G20="P1",(O20-H20)*24,MAX(0,(NETWORKDAYS(INT(H20),INT(O20))-1)*10+(MOD(O20,1)-MOD(H20,1))*24)))</x:f>
        <x:v>2.25</x:v>
      </x:c>
      <x:c r="R20" s="25" t="str">
        <x:f>IF(O20="","Open",IF(Q20&lt;=P20,"Yes","No"))</x:f>
        <x:v>Yes</x:v>
      </x:c>
      <x:c r="S20" s="46" t="n">
        <x:f>IF(G20="P1",H20+VLOOKUP(G20,'SLA &amp; Priority'!$A$6:$G$9,5,FALSE),WORKDAY(INT(H20),VLOOKUP(G20,'SLA &amp; Priority'!$A$6:$G$9,5,FALSE))+MOD(H20,1))</x:f>
        <x:v>46231.39236111111</x:v>
      </x:c>
      <x:c r="T20" s="25" t="str">
        <x:v>Closed</x:v>
      </x:c>
      <x:c r="U20" s="25" t="str">
        <x:v>No</x:v>
      </x:c>
      <x:c r="V20" s="46" t="n">
        <x:v>46230.333333333336</x:v>
      </x:c>
      <x:c r="W20" s="28" t="n">
        <x:f>IF(V20="","",IF(G20="P1",(V20-H20)*24,MAX(0,(NETWORKDAYS(INT(H20),INT(V20))-1)*10+(MOD(V20,1)-MOD(H20,1))*24)))</x:f>
        <x:v>18.583333333430346</x:v>
      </x:c>
      <x:c r="X20" s="25" t="str">
        <x:f>IF(V20="","Open",IF(V20&lt;=S20,"Yes","No"))</x:f>
        <x:v>Yes</x:v>
      </x:c>
      <x:c r="Y20" s="25" t="str">
        <x:f>IF(V20="","Open",IF(AND(N20="Yes",R20="Yes",X20="Yes"),"Yes","No"))</x:f>
        <x:v>Yes</x:v>
      </x:c>
      <x:c r="Z20" s="25" t="str">
        <x:v>Scheduler reliability</x:v>
      </x:c>
      <x:c r="AA20" s="49" t="n">
        <x:v>5</x:v>
      </x:c>
      <x:c r="AB20" s="25" t="str">
        <x:v>No</x:v>
      </x:c>
      <x:c r="AC20" s="25" t="str">
        <x:v>No</x:v>
      </x:c>
      <x:c r="AD20" s="25" t="str">
        <x:v>Scheduler job rerun successfully and reliability defect documented.</x:v>
      </x:c>
      <x:c r="AE20" s="25" t="str">
        <x:f>VLOOKUP(G20,'SLA &amp; Priority'!$A$6:$G$9,7,FALSE)</x:f>
        <x:v>Daily</x:v>
      </x:c>
      <x:c r="AF20" s="46" t="n">
        <x:v>46230.333333333336</x:v>
      </x:c>
      <x:c r="AG20" s="25" t="str">
        <x:v>Yes</x:v>
      </x:c>
    </x:row>
    <x:row r="21" ht="42" customHeight="1">
      <x:c r="A21" s="25" t="str">
        <x:v>AST-2026-0016</x:v>
      </x:c>
      <x:c r="B21" s="25" t="str">
        <x:v>Prairieline Cooperative</x:v>
      </x:c>
      <x:c r="C21" s="25" t="str">
        <x:v>Growth</x:v>
      </x:c>
      <x:c r="D21" s="25" t="str">
        <x:v>Support Portal</x:v>
      </x:c>
      <x:c r="E21" s="25" t="str">
        <x:v>Performance &amp; Availability</x:v>
      </x:c>
      <x:c r="F21" s="25" t="str">
        <x:v>Dashboard performance slowed during the morning peak</x:v>
      </x:c>
      <x:c r="G21" s="25" t="str">
        <x:v>P3</x:v>
      </x:c>
      <x:c r="H21" s="46" t="n">
        <x:v>46230.36111111111</x:v>
      </x:c>
      <x:c r="I21" s="25" t="str">
        <x:v>Eli Ramirez</x:v>
      </x:c>
      <x:c r="J21" s="25" t="str">
        <x:v>Engineering</x:v>
      </x:c>
      <x:c r="K21" s="46" t="n">
        <x:v>46230.395833333336</x:v>
      </x:c>
      <x:c r="L21" s="28" t="n">
        <x:f>VLOOKUP(G21,'SLA &amp; Priority'!$A$6:$G$9,4,FALSE)</x:f>
        <x:v>4</x:v>
      </x:c>
      <x:c r="M21" s="28" t="n">
        <x:f>IF(K21="","",IF(G21="P1",(K21-H21)*24,MAX(0,(NETWORKDAYS(INT(H21),INT(K21))-1)*10+(MOD(K21,1)-MOD(H21,1))*24)))</x:f>
        <x:v>0.8333333334303461</x:v>
      </x:c>
      <x:c r="N21" s="25" t="str">
        <x:f>IF(K21="","Open",IF(M21&lt;=L21,"Yes","No"))</x:f>
        <x:v>Yes</x:v>
      </x:c>
      <x:c r="O21" s="46" t="n">
        <x:v>46230.38888888889</x:v>
      </x:c>
      <x:c r="P21" s="28" t="n">
        <x:f>VLOOKUP(G21,'SLA &amp; Priority'!$A$6:$G$9,3,FALSE)</x:f>
        <x:v>4</x:v>
      </x:c>
      <x:c r="Q21" s="28" t="n">
        <x:f>IF(O21="","",IF(G21="P1",(O21-H21)*24,MAX(0,(NETWORKDAYS(INT(H21),INT(O21))-1)*10+(MOD(O21,1)-MOD(H21,1))*24)))</x:f>
        <x:v>0.6666666667442769</x:v>
      </x:c>
      <x:c r="R21" s="25" t="str">
        <x:f>IF(O21="","Open",IF(Q21&lt;=P21,"Yes","No"))</x:f>
        <x:v>Yes</x:v>
      </x:c>
      <x:c r="S21" s="46" t="n">
        <x:f>IF(G21="P1",H21+VLOOKUP(G21,'SLA &amp; Priority'!$A$6:$G$9,5,FALSE),WORKDAY(INT(H21),VLOOKUP(G21,'SLA &amp; Priority'!$A$6:$G$9,5,FALSE))+MOD(H21,1))</x:f>
        <x:v>46233.36111111111</x:v>
      </x:c>
      <x:c r="T21" s="25" t="str">
        <x:v>Monitoring</x:v>
      </x:c>
      <x:c r="U21" s="25" t="str">
        <x:v>Level 1</x:v>
      </x:c>
      <x:c r="V21" s="46"/>
      <x:c r="W21" s="28" t="str">
        <x:f>IF(V21="","",IF(G21="P1",(V21-H21)*24,MAX(0,(NETWORKDAYS(INT(H21),INT(V21))-1)*10+(MOD(V21,1)-MOD(H21,1))*24)))</x:f>
      </x:c>
      <x:c r="X21" s="25" t="str">
        <x:f>IF(V21="","Open",IF(V21&lt;=S21,"Yes","No"))</x:f>
        <x:v>Open</x:v>
      </x:c>
      <x:c r="Y21" s="25" t="str">
        <x:f>IF(V21="","Open",IF(AND(N21="Yes",R21="Yes",X21="Yes"),"Yes","No"))</x:f>
        <x:v>Open</x:v>
      </x:c>
      <x:c r="Z21" s="25" t="str">
        <x:v>Capacity threshold gap</x:v>
      </x:c>
      <x:c r="AA21" s="49"/>
      <x:c r="AB21" s="25" t="str">
        <x:v>Yes</x:v>
      </x:c>
      <x:c r="AC21" s="25" t="str">
        <x:v>Yes</x:v>
      </x:c>
      <x:c r="AD21" s="25" t="str">
        <x:v>Mitigation applied; monitoring remains open through the next peak window.</x:v>
      </x:c>
      <x:c r="AE21" s="25" t="str">
        <x:f>VLOOKUP(G21,'SLA &amp; Priority'!$A$6:$G$9,7,FALSE)</x:f>
        <x:v>Daily</x:v>
      </x:c>
      <x:c r="AF21" s="46" t="n">
        <x:v>46232.375</x:v>
      </x:c>
      <x:c r="AG21" s="25" t="str">
        <x:v>Yes</x:v>
      </x:c>
    </x:row>
    <x:row r="22" ht="42" customHeight="1">
      <x:c r="A22" s="25" t="str">
        <x:v>AST-2026-0017</x:v>
      </x:c>
      <x:c r="B22" s="25" t="str">
        <x:v>Aspen &amp; Grove</x:v>
      </x:c>
      <x:c r="C22" s="25" t="str">
        <x:v>Standard</x:v>
      </x:c>
      <x:c r="D22" s="25" t="str">
        <x:v>Email</x:v>
      </x:c>
      <x:c r="E22" s="25" t="str">
        <x:v>Integration/API</x:v>
      </x:c>
      <x:c r="F22" s="25" t="str">
        <x:v>Requested a Zapier setup guide</x:v>
      </x:c>
      <x:c r="G22" s="25" t="str">
        <x:v>P4</x:v>
      </x:c>
      <x:c r="H22" s="46" t="n">
        <x:v>46209.416666666664</x:v>
      </x:c>
      <x:c r="I22" s="25" t="str">
        <x:v>Maya Chen</x:v>
      </x:c>
      <x:c r="J22" s="25" t="str">
        <x:v>Support</x:v>
      </x:c>
      <x:c r="K22" s="46" t="n">
        <x:v>46210.395833333336</x:v>
      </x:c>
      <x:c r="L22" s="28" t="n">
        <x:f>VLOOKUP(G22,'SLA &amp; Priority'!$A$6:$G$9,4,FALSE)</x:f>
        <x:v>10</x:v>
      </x:c>
      <x:c r="M22" s="28" t="n">
        <x:f>IF(K22="","",IF(G22="P1",(K22-H22)*24,MAX(0,(NETWORKDAYS(INT(H22),INT(K22))-1)*10+(MOD(K22,1)-MOD(H22,1))*24)))</x:f>
        <x:v>9.500000000116415</x:v>
      </x:c>
      <x:c r="N22" s="25" t="str">
        <x:f>IF(K22="","Open",IF(M22&lt;=L22,"Yes","No"))</x:f>
        <x:v>Yes</x:v>
      </x:c>
      <x:c r="O22" s="46" t="n">
        <x:v>46210.40625</x:v>
      </x:c>
      <x:c r="P22" s="28" t="n">
        <x:f>VLOOKUP(G22,'SLA &amp; Priority'!$A$6:$G$9,3,FALSE)</x:f>
        <x:v>10</x:v>
      </x:c>
      <x:c r="Q22" s="28" t="n">
        <x:f>IF(O22="","",IF(G22="P1",(O22-H22)*24,MAX(0,(NETWORKDAYS(INT(H22),INT(O22))-1)*10+(MOD(O22,1)-MOD(H22,1))*24)))</x:f>
        <x:v>9.750000000058208</x:v>
      </x:c>
      <x:c r="R22" s="25" t="str">
        <x:f>IF(O22="","Open",IF(Q22&lt;=P22,"Yes","No"))</x:f>
        <x:v>Yes</x:v>
      </x:c>
      <x:c r="S22" s="46" t="n">
        <x:f>IF(G22="P1",H22+VLOOKUP(G22,'SLA &amp; Priority'!$A$6:$G$9,5,FALSE),WORKDAY(INT(H22),VLOOKUP(G22,'SLA &amp; Priority'!$A$6:$G$9,5,FALSE))+MOD(H22,1))</x:f>
        <x:v>46216.416666666664</x:v>
      </x:c>
      <x:c r="T22" s="25" t="str">
        <x:v>Closed</x:v>
      </x:c>
      <x:c r="U22" s="25" t="str">
        <x:v>No</x:v>
      </x:c>
      <x:c r="V22" s="46" t="n">
        <x:v>46213.625</x:v>
      </x:c>
      <x:c r="W22" s="28" t="n">
        <x:f>IF(V22="","",IF(G22="P1",(V22-H22)*24,MAX(0,(NETWORKDAYS(INT(H22),INT(V22))-1)*10+(MOD(V22,1)-MOD(H22,1))*24)))</x:f>
        <x:v>45.00000000005821</x:v>
      </x:c>
      <x:c r="X22" s="25" t="str">
        <x:f>IF(V22="","Open",IF(V22&lt;=S22,"Yes","No"))</x:f>
        <x:v>Yes</x:v>
      </x:c>
      <x:c r="Y22" s="25" t="str">
        <x:f>IF(V22="","Open",IF(AND(N22="Yes",R22="Yes",X22="Yes"),"Yes","No"))</x:f>
        <x:v>Yes</x:v>
      </x:c>
      <x:c r="Z22" s="25" t="str">
        <x:v>Setup guidance gap</x:v>
      </x:c>
      <x:c r="AA22" s="49" t="n">
        <x:v>5</x:v>
      </x:c>
      <x:c r="AB22" s="25" t="str">
        <x:v>No</x:v>
      </x:c>
      <x:c r="AC22" s="25" t="str">
        <x:v>No</x:v>
      </x:c>
      <x:c r="AD22" s="25" t="str">
        <x:v>Guide shared and content request added to the enablement backlog.</x:v>
      </x:c>
      <x:c r="AE22" s="25" t="str">
        <x:f>VLOOKUP(G22,'SLA &amp; Priority'!$A$6:$G$9,7,FALSE)</x:f>
        <x:v>Every 3 business days / milestones</x:v>
      </x:c>
      <x:c r="AF22" s="46" t="n">
        <x:v>46213.625</x:v>
      </x:c>
      <x:c r="AG22" s="25" t="str">
        <x:v>Yes</x:v>
      </x:c>
    </x:row>
    <x:row r="23" ht="42" customHeight="1">
      <x:c r="A23" s="25" t="str">
        <x:v>AST-2026-0018</x:v>
      </x:c>
      <x:c r="B23" s="25" t="str">
        <x:v>Stonebridge Media</x:v>
      </x:c>
      <x:c r="C23" s="25" t="str">
        <x:v>Standard</x:v>
      </x:c>
      <x:c r="D23" s="25" t="str">
        <x:v>CSM</x:v>
      </x:c>
      <x:c r="E23" s="25" t="str">
        <x:v>Billing &amp; Renewal</x:v>
      </x:c>
      <x:c r="F23" s="25" t="str">
        <x:v>Asked how to add seasonal licenses</x:v>
      </x:c>
      <x:c r="G23" s="25" t="str">
        <x:v>P4</x:v>
      </x:c>
      <x:c r="H23" s="46" t="n">
        <x:v>46216.399305555555</x:v>
      </x:c>
      <x:c r="I23" s="25" t="str">
        <x:v>Priya Shah</x:v>
      </x:c>
      <x:c r="J23" s="25" t="str">
        <x:v>Customer Success</x:v>
      </x:c>
      <x:c r="K23" s="46" t="n">
        <x:v>46217.38888888889</x:v>
      </x:c>
      <x:c r="L23" s="28" t="n">
        <x:f>VLOOKUP(G23,'SLA &amp; Priority'!$A$6:$G$9,4,FALSE)</x:f>
        <x:v>10</x:v>
      </x:c>
      <x:c r="M23" s="28" t="n">
        <x:f>IF(K23="","",IF(G23="P1",(K23-H23)*24,MAX(0,(NETWORKDAYS(INT(H23),INT(K23))-1)*10+(MOD(K23,1)-MOD(H23,1))*24)))</x:f>
        <x:v>9.750000000058208</x:v>
      </x:c>
      <x:c r="N23" s="25" t="str">
        <x:f>IF(K23="","Open",IF(M23&lt;=L23,"Yes","No"))</x:f>
        <x:v>Yes</x:v>
      </x:c>
      <x:c r="O23" s="46" t="n">
        <x:v>46217.39236111111</x:v>
      </x:c>
      <x:c r="P23" s="28" t="n">
        <x:f>VLOOKUP(G23,'SLA &amp; Priority'!$A$6:$G$9,3,FALSE)</x:f>
        <x:v>10</x:v>
      </x:c>
      <x:c r="Q23" s="28" t="n">
        <x:f>IF(O23="","",IF(G23="P1",(O23-H23)*24,MAX(0,(NETWORKDAYS(INT(H23),INT(O23))-1)*10+(MOD(O23,1)-MOD(H23,1))*24)))</x:f>
        <x:v>9.83333333331393</x:v>
      </x:c>
      <x:c r="R23" s="25" t="str">
        <x:f>IF(O23="","Open",IF(Q23&lt;=P23,"Yes","No"))</x:f>
        <x:v>Yes</x:v>
      </x:c>
      <x:c r="S23" s="46" t="n">
        <x:f>IF(G23="P1",H23+VLOOKUP(G23,'SLA &amp; Priority'!$A$6:$G$9,5,FALSE),WORKDAY(INT(H23),VLOOKUP(G23,'SLA &amp; Priority'!$A$6:$G$9,5,FALSE))+MOD(H23,1))</x:f>
        <x:v>46223.399305555555</x:v>
      </x:c>
      <x:c r="T23" s="25" t="str">
        <x:v>Closed</x:v>
      </x:c>
      <x:c r="U23" s="25" t="str">
        <x:v>No</x:v>
      </x:c>
      <x:c r="V23" s="46" t="n">
        <x:v>46220.666666666664</x:v>
      </x:c>
      <x:c r="W23" s="28" t="n">
        <x:f>IF(V23="","",IF(G23="P1",(V23-H23)*24,MAX(0,(NETWORKDAYS(INT(H23),INT(V23))-1)*10+(MOD(V23,1)-MOD(H23,1))*24)))</x:f>
        <x:v>46.41666666662786</x:v>
      </x:c>
      <x:c r="X23" s="25" t="str">
        <x:f>IF(V23="","Open",IF(V23&lt;=S23,"Yes","No"))</x:f>
        <x:v>Yes</x:v>
      </x:c>
      <x:c r="Y23" s="25" t="str">
        <x:f>IF(V23="","Open",IF(AND(N23="Yes",R23="Yes",X23="Yes"),"Yes","No"))</x:f>
        <x:v>Yes</x:v>
      </x:c>
      <x:c r="Z23" s="25" t="str">
        <x:v>License policy question</x:v>
      </x:c>
      <x:c r="AA23" s="49"/>
      <x:c r="AB23" s="25" t="str">
        <x:v>No</x:v>
      </x:c>
      <x:c r="AC23" s="25" t="str">
        <x:v>No</x:v>
      </x:c>
      <x:c r="AD23" s="25" t="str">
        <x:v>Policy options explained and commercial contact introduced.</x:v>
      </x:c>
      <x:c r="AE23" s="25" t="str">
        <x:f>VLOOKUP(G23,'SLA &amp; Priority'!$A$6:$G$9,7,FALSE)</x:f>
        <x:v>Every 3 business days / milestones</x:v>
      </x:c>
      <x:c r="AF23" s="46" t="n">
        <x:v>46220.666666666664</x:v>
      </x:c>
      <x:c r="AG23" s="25" t="str">
        <x:v>Yes</x:v>
      </x:c>
    </x:row>
    <x:row r="24" ht="42" customHeight="1">
      <x:c r="A24" s="25" t="str">
        <x:v>AST-2026-0019</x:v>
      </x:c>
      <x:c r="B24" s="25" t="str">
        <x:v>Willow Analytics</x:v>
      </x:c>
      <x:c r="C24" s="25" t="str">
        <x:v>Standard</x:v>
      </x:c>
      <x:c r="D24" s="25" t="str">
        <x:v>Support Portal</x:v>
      </x:c>
      <x:c r="E24" s="25" t="str">
        <x:v>Reporting &amp; Export</x:v>
      </x:c>
      <x:c r="F24" s="25" t="str">
        <x:v>Requested saved export filters</x:v>
      </x:c>
      <x:c r="G24" s="25" t="str">
        <x:v>P4</x:v>
      </x:c>
      <x:c r="H24" s="46" t="n">
        <x:v>46223.42361111111</x:v>
      </x:c>
      <x:c r="I24" s="25" t="str">
        <x:v>Noah Patel</x:v>
      </x:c>
      <x:c r="J24" s="25" t="str">
        <x:v>Product</x:v>
      </x:c>
      <x:c r="K24" s="46" t="n">
        <x:v>46224.413194444445</x:v>
      </x:c>
      <x:c r="L24" s="28" t="n">
        <x:f>VLOOKUP(G24,'SLA &amp; Priority'!$A$6:$G$9,4,FALSE)</x:f>
        <x:v>10</x:v>
      </x:c>
      <x:c r="M24" s="28" t="n">
        <x:f>IF(K24="","",IF(G24="P1",(K24-H24)*24,MAX(0,(NETWORKDAYS(INT(H24),INT(K24))-1)*10+(MOD(K24,1)-MOD(H24,1))*24)))</x:f>
        <x:v>9.750000000058208</x:v>
      </x:c>
      <x:c r="N24" s="25" t="str">
        <x:f>IF(K24="","Open",IF(M24&lt;=L24,"Yes","No"))</x:f>
        <x:v>Yes</x:v>
      </x:c>
      <x:c r="O24" s="46" t="n">
        <x:v>46224.416666666664</x:v>
      </x:c>
      <x:c r="P24" s="28" t="n">
        <x:f>VLOOKUP(G24,'SLA &amp; Priority'!$A$6:$G$9,3,FALSE)</x:f>
        <x:v>10</x:v>
      </x:c>
      <x:c r="Q24" s="28" t="n">
        <x:f>IF(O24="","",IF(G24="P1",(O24-H24)*24,MAX(0,(NETWORKDAYS(INT(H24),INT(O24))-1)*10+(MOD(O24,1)-MOD(H24,1))*24)))</x:f>
        <x:v>9.83333333331393</x:v>
      </x:c>
      <x:c r="R24" s="25" t="str">
        <x:f>IF(O24="","Open",IF(Q24&lt;=P24,"Yes","No"))</x:f>
        <x:v>Yes</x:v>
      </x:c>
      <x:c r="S24" s="46" t="n">
        <x:f>IF(G24="P1",H24+VLOOKUP(G24,'SLA &amp; Priority'!$A$6:$G$9,5,FALSE),WORKDAY(INT(H24),VLOOKUP(G24,'SLA &amp; Priority'!$A$6:$G$9,5,FALSE))+MOD(H24,1))</x:f>
        <x:v>46230.42361111111</x:v>
      </x:c>
      <x:c r="T24" s="25" t="str">
        <x:v>Resolved</x:v>
      </x:c>
      <x:c r="U24" s="25" t="str">
        <x:v>No</x:v>
      </x:c>
      <x:c r="V24" s="46" t="n">
        <x:v>46230.375</x:v>
      </x:c>
      <x:c r="W24" s="28" t="n">
        <x:f>IF(V24="","",IF(G24="P1",(V24-H24)*24,MAX(0,(NETWORKDAYS(INT(H24),INT(V24))-1)*10+(MOD(V24,1)-MOD(H24,1))*24)))</x:f>
        <x:v>48.83333333337214</x:v>
      </x:c>
      <x:c r="X24" s="25" t="str">
        <x:f>IF(V24="","Open",IF(V24&lt;=S24,"Yes","No"))</x:f>
        <x:v>Yes</x:v>
      </x:c>
      <x:c r="Y24" s="25" t="str">
        <x:f>IF(V24="","Open",IF(AND(N24="Yes",R24="Yes",X24="Yes"),"Yes","No"))</x:f>
        <x:v>Yes</x:v>
      </x:c>
      <x:c r="Z24" s="25" t="str">
        <x:v>Enhancement request</x:v>
      </x:c>
      <x:c r="AA24" s="49" t="n">
        <x:v>4</x:v>
      </x:c>
      <x:c r="AB24" s="25" t="str">
        <x:v>No</x:v>
      </x:c>
      <x:c r="AC24" s="25" t="str">
        <x:v>No</x:v>
      </x:c>
      <x:c r="AD24" s="25" t="str">
        <x:v>Request grouped with similar demand and given a documented Product disposition.</x:v>
      </x:c>
      <x:c r="AE24" s="25" t="str">
        <x:f>VLOOKUP(G24,'SLA &amp; Priority'!$A$6:$G$9,7,FALSE)</x:f>
        <x:v>Every 3 business days / milestones</x:v>
      </x:c>
      <x:c r="AF24" s="46" t="n">
        <x:v>46230.375</x:v>
      </x:c>
      <x:c r="AG24" s="25" t="str">
        <x:v>Yes</x:v>
      </x:c>
    </x:row>
    <x:row r="25" ht="42" customHeight="1">
      <x:c r="A25" s="26" t="str">
        <x:v>AST-2026-0020</x:v>
      </x:c>
      <x:c r="B25" s="26" t="str">
        <x:v>Nova Community Network</x:v>
      </x:c>
      <x:c r="C25" s="26" t="str">
        <x:v>Standard</x:v>
      </x:c>
      <x:c r="D25" s="26" t="str">
        <x:v>Chat</x:v>
      </x:c>
      <x:c r="E25" s="26" t="str">
        <x:v>Access &amp; Permissions</x:v>
      </x:c>
      <x:c r="F25" s="26" t="str">
        <x:v>Asked how to transfer the account administrator role</x:v>
      </x:c>
      <x:c r="G25" s="26" t="str">
        <x:v>P4</x:v>
      </x:c>
      <x:c r="H25" s="47" t="n">
        <x:v>46231.35763888889</x:v>
      </x:c>
      <x:c r="I25" s="26" t="str">
        <x:v>Maya Chen</x:v>
      </x:c>
      <x:c r="J25" s="26" t="str">
        <x:v>Support</x:v>
      </x:c>
      <x:c r="K25" s="47" t="n">
        <x:v>46232.354166666664</x:v>
      </x:c>
      <x:c r="L25" s="29" t="n">
        <x:f>VLOOKUP(G25,'SLA &amp; Priority'!$A$6:$G$9,4,FALSE)</x:f>
        <x:v>10</x:v>
      </x:c>
      <x:c r="M25" s="29" t="n">
        <x:f>IF(K25="","",IF(G25="P1",(K25-H25)*24,MAX(0,(NETWORKDAYS(INT(H25),INT(K25))-1)*10+(MOD(K25,1)-MOD(H25,1))*24)))</x:f>
        <x:v>9.916666666569654</x:v>
      </x:c>
      <x:c r="N25" s="26" t="str">
        <x:f>IF(K25="","Open",IF(M25&lt;=L25,"Yes","No"))</x:f>
        <x:v>Yes</x:v>
      </x:c>
      <x:c r="O25" s="47" t="n">
        <x:v>46232.375</x:v>
      </x:c>
      <x:c r="P25" s="29" t="n">
        <x:f>VLOOKUP(G25,'SLA &amp; Priority'!$A$6:$G$9,3,FALSE)</x:f>
        <x:v>10</x:v>
      </x:c>
      <x:c r="Q25" s="29" t="n">
        <x:f>IF(O25="","",IF(G25="P1",(O25-H25)*24,MAX(0,(NETWORKDAYS(INT(H25),INT(O25))-1)*10+(MOD(O25,1)-MOD(H25,1))*24)))</x:f>
        <x:v>10.416666666627862</x:v>
      </x:c>
      <x:c r="R25" s="26" t="str">
        <x:f>IF(O25="","Open",IF(Q25&lt;=P25,"Yes","No"))</x:f>
        <x:v>No</x:v>
      </x:c>
      <x:c r="S25" s="47" t="n">
        <x:f>IF(G25="P1",H25+VLOOKUP(G25,'SLA &amp; Priority'!$A$6:$G$9,5,FALSE),WORKDAY(INT(H25),VLOOKUP(G25,'SLA &amp; Priority'!$A$6:$G$9,5,FALSE))+MOD(H25,1))</x:f>
        <x:v>46238.35763888889</x:v>
      </x:c>
      <x:c r="T25" s="26" t="str">
        <x:v>Pending Customer</x:v>
      </x:c>
      <x:c r="U25" s="26" t="str">
        <x:v>No</x:v>
      </x:c>
      <x:c r="V25" s="47"/>
      <x:c r="W25" s="29" t="str">
        <x:f>IF(V25="","",IF(G25="P1",(V25-H25)*24,MAX(0,(NETWORKDAYS(INT(H25),INT(V25))-1)*10+(MOD(V25,1)-MOD(H25,1))*24)))</x:f>
      </x:c>
      <x:c r="X25" s="26" t="str">
        <x:f>IF(V25="","Open",IF(V25&lt;=S25,"Yes","No"))</x:f>
        <x:v>Open</x:v>
      </x:c>
      <x:c r="Y25" s="26" t="str">
        <x:f>IF(V25="","Open",IF(AND(N25="Yes",R25="Yes",X25="Yes"),"Yes","No"))</x:f>
        <x:v>Open</x:v>
      </x:c>
      <x:c r="Z25" s="26" t="str">
        <x:v>Admin transfer guidance gap</x:v>
      </x:c>
      <x:c r="AA25" s="50"/>
      <x:c r="AB25" s="26" t="str">
        <x:v>Yes</x:v>
      </x:c>
      <x:c r="AC25" s="26" t="str">
        <x:v>Yes</x:v>
      </x:c>
      <x:c r="AD25" s="26" t="str">
        <x:v>Transfer checklist sent; waiting for the current administrator confirmation.</x:v>
      </x:c>
      <x:c r="AE25" s="26" t="str">
        <x:f>VLOOKUP(G25,'SLA &amp; Priority'!$A$6:$G$9,7,FALSE)</x:f>
        <x:v>Every 3 business days / milestones</x:v>
      </x:c>
      <x:c r="AF25" s="47" t="n">
        <x:v>46232.375</x:v>
      </x:c>
      <x:c r="AG25" s="26" t="str">
        <x:v>Yes</x:v>
      </x:c>
    </x:row>
  </x:sheetData>
  <x:mergeCells>
    <x:mergeCell ref="A1:AG1"/>
    <x:mergeCell ref="A2:AG2"/>
    <x:mergeCell ref="A3:AG3"/>
  </x:mergeCells>
  <x:conditionalFormatting sqref="G6:G25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  <x:cfRule type="containsText" dxfId="3" priority="4" operator="containsText" text="P4"/>
  </x:conditionalFormatting>
  <x:conditionalFormatting sqref="N6:N25">
    <x:cfRule type="containsText" dxfId="4" priority="5" operator="containsText" text="No"/>
    <x:cfRule type="containsText" dxfId="5" priority="6" operator="containsText" text="Yes"/>
    <x:cfRule type="containsText" dxfId="6" priority="7" operator="containsText" text="Open"/>
  </x:conditionalFormatting>
  <x:conditionalFormatting sqref="R6:R25">
    <x:cfRule type="containsText" dxfId="7" priority="8" operator="containsText" text="No"/>
    <x:cfRule type="containsText" dxfId="8" priority="9" operator="containsText" text="Yes"/>
    <x:cfRule type="containsText" dxfId="9" priority="10" operator="containsText" text="Open"/>
  </x:conditionalFormatting>
  <x:conditionalFormatting sqref="X6:X25">
    <x:cfRule type="containsText" dxfId="10" priority="11" operator="containsText" text="No"/>
    <x:cfRule type="containsText" dxfId="11" priority="12" operator="containsText" text="Yes"/>
    <x:cfRule type="containsText" dxfId="12" priority="13" operator="containsText" text="Open"/>
  </x:conditionalFormatting>
  <x:conditionalFormatting sqref="Y6:Y25">
    <x:cfRule type="containsText" dxfId="13" priority="14" operator="containsText" text="No"/>
    <x:cfRule type="containsText" dxfId="14" priority="15" operator="containsText" text="Yes"/>
    <x:cfRule type="containsText" dxfId="15" priority="16" operator="containsText" text="Open"/>
  </x:conditionalFormatting>
  <x:conditionalFormatting sqref="AG6:AG25">
    <x:cfRule type="containsText" dxfId="16" priority="17" operator="containsText" text="No"/>
    <x:cfRule type="containsText" dxfId="17" priority="18" operator="containsText" text="Yes"/>
    <x:cfRule type="containsText" dxfId="18" priority="19" operator="containsText" text="Open"/>
  </x:conditionalFormatting>
  <x:conditionalFormatting sqref="U6:U25">
    <x:cfRule type="notContainsText" dxfId="19" priority="20" text="No"/>
  </x:conditionalFormatting>
  <x:dataValidations count="10">
    <x:dataValidation type="list" sqref="C6:C25">
      <x:formula1>"Strategic,Growth,Standard"</x:formula1>
    </x:dataValidation>
    <x:dataValidation type="list" sqref="D6:D25">
      <x:formula1>"Email,Support Portal,Chat,Account Manager,CSM"</x:formula1>
    </x:dataValidation>
    <x:dataValidation type="list" sqref="E6:E25">
      <x:formula1>"Integration/API,Access &amp; Permissions,Billing &amp; Renewal,Reporting &amp; Export,Performance &amp; Availability"</x:formula1>
    </x:dataValidation>
    <x:dataValidation type="list" sqref="G6:G25">
      <x:formula1>"P1,P2,P3,P4"</x:formula1>
    </x:dataValidation>
    <x:dataValidation type="list" sqref="J6:J25">
      <x:formula1>"Support,Customer Success,Operations,Product,Engineering"</x:formula1>
    </x:dataValidation>
    <x:dataValidation type="list" sqref="T6:T25">
      <x:formula1>"New,Triaged,In Progress,Pending Customer,Pending Internal,Monitoring,Resolved,Closed"</x:formula1>
    </x:dataValidation>
    <x:dataValidation type="list" sqref="U6:U25">
      <x:formula1>"No,Level 1,Level 2,Level 3"</x:formula1>
    </x:dataValidation>
    <x:dataValidation type="whole" operator="between" sqref="AA6:AA25">
      <x:formula1>1</x:formula1>
      <x:formula2>5</x:formula2>
    </x:dataValidation>
    <x:dataValidation type="list" sqref="AB6:AC25">
      <x:formula1>"Yes,No"</x:formula1>
    </x:dataValidation>
    <x:dataValidation type="list" sqref="AG6:AG25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fdfd389d6b44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3" hidden="0" customWidth="1"/>
    <x:col min="8" max="8" width="37" hidden="0" customWidth="1"/>
  </x:cols>
  <x:sheetData>
    <x:row r="1" ht="34" customHeight="1">
      <x:c r="A1" s="4" t="str">
        <x:v>Priority, SLA &amp; Communication Standards</x:v>
      </x:c>
      <x:c r="B1" s="4" t="str">
        <x:v>Priority, SLA &amp; Communication Standards</x:v>
      </x:c>
      <x:c r="C1" s="4" t="str">
        <x:v>Priority, SLA &amp; Communication Standards</x:v>
      </x:c>
      <x:c r="D1" s="4" t="str">
        <x:v>Priority, SLA &amp; Communication Standards</x:v>
      </x:c>
      <x:c r="E1" s="4" t="str">
        <x:v>Priority, SLA &amp; Communication Standards</x:v>
      </x:c>
      <x:c r="F1" s="4" t="str">
        <x:v>Priority, SLA &amp; Communication Standards</x:v>
      </x:c>
      <x:c r="G1" s="4" t="str">
        <x:v>Priority, SLA &amp; Communication Standards</x:v>
      </x:c>
      <x:c r="H1" s="4" t="str">
        <x:v>Priority, SLA &amp; Communication Standards</x:v>
      </x:c>
    </x:row>
    <x:row r="2" ht="32" customHeight="1">
      <x:c r="A2" s="8" t="str">
        <x:v>Proposed standards for the fictional Asterline Software scenario. P1 is 24/7; P2–P4 use Monday–Friday, 8:00 a.m.–6:00 p.m. CT, excluding company holidays.</x:v>
      </x:c>
      <x:c r="B2" s="8" t="str">
        <x:v>Proposed standards for the fictional Asterline Software scenario. P1 is 24/7; P2–P4 use Monday–Friday, 8:00 a.m.–6:00 p.m. CT, excluding company holidays.</x:v>
      </x:c>
      <x:c r="C2" s="8" t="str">
        <x:v>Proposed standards for the fictional Asterline Software scenario. P1 is 24/7; P2–P4 use Monday–Friday, 8:00 a.m.–6:00 p.m. CT, excluding company holidays.</x:v>
      </x:c>
      <x:c r="D2" s="8" t="str">
        <x:v>Proposed standards for the fictional Asterline Software scenario. P1 is 24/7; P2–P4 use Monday–Friday, 8:00 a.m.–6:00 p.m. CT, excluding company holidays.</x:v>
      </x:c>
      <x:c r="E2" s="8" t="str">
        <x:v>Proposed standards for the fictional Asterline Software scenario. P1 is 24/7; P2–P4 use Monday–Friday, 8:00 a.m.–6:00 p.m. CT, excluding company holidays.</x:v>
      </x:c>
      <x:c r="F2" s="8" t="str">
        <x:v>Proposed standards for the fictional Asterline Software scenario. P1 is 24/7; P2–P4 use Monday–Friday, 8:00 a.m.–6:00 p.m. CT, excluding company holidays.</x:v>
      </x:c>
      <x:c r="G2" s="8" t="str">
        <x:v>Proposed standards for the fictional Asterline Software scenario. P1 is 24/7; P2–P4 use Monday–Friday, 8:00 a.m.–6:00 p.m. CT, excluding company holidays.</x:v>
      </x:c>
      <x:c r="H2" s="8" t="str">
        <x:v>Proposed standards for the fictional Asterline Software scenario. P1 is 24/7; P2–P4 use Monday–Friday, 8:00 a.m.–6:00 p.m. CT, excluding company holidays.</x:v>
      </x:c>
    </x:row>
    <x:row r="4" ht="24" customHeight="1">
      <x:c r="A4" s="11" t="str">
        <x:v>Four-level priority and service framework</x:v>
      </x:c>
      <x:c r="B4" s="11" t="str">
        <x:v>Four-level priority and service framework</x:v>
      </x:c>
      <x:c r="C4" s="11" t="str">
        <x:v>Four-level priority and service framework</x:v>
      </x:c>
      <x:c r="D4" s="11" t="str">
        <x:v>Four-level priority and service framework</x:v>
      </x:c>
      <x:c r="E4" s="11" t="str">
        <x:v>Four-level priority and service framework</x:v>
      </x:c>
      <x:c r="F4" s="11" t="str">
        <x:v>Four-level priority and service framework</x:v>
      </x:c>
      <x:c r="G4" s="11" t="str">
        <x:v>Four-level priority and service framework</x:v>
      </x:c>
      <x:c r="H4" s="11" t="str">
        <x:v>Four-level priority and service framework</x:v>
      </x:c>
    </x:row>
    <x:row r="5" ht="15" hidden="0" customHeight="1">
      <x:c r="A5" s="16" t="str">
        <x:v>Priority</x:v>
      </x:c>
      <x:c r="B5" s="16" t="str">
        <x:v>Definition</x:v>
      </x:c>
      <x:c r="C5" s="16" t="str">
        <x:v>First Response (hrs)</x:v>
      </x:c>
      <x:c r="D5" s="16" t="str">
        <x:v>Assignment (hrs)</x:v>
      </x:c>
      <x:c r="E5" s="16" t="str">
        <x:v>Resolution Days</x:v>
      </x:c>
      <x:c r="F5" s="16" t="str">
        <x:v>Escalation Trigger</x:v>
      </x:c>
      <x:c r="G5" s="16" t="str">
        <x:v>Update Cadence</x:v>
      </x:c>
      <x:c r="H5" s="16" t="str">
        <x:v>Primary Coordination</x:v>
      </x:c>
    </x:row>
    <x:row r="6" ht="21.600000381469727" hidden="0" customHeight="1">
      <x:c r="A6" s="31" t="str">
        <x:v>P1</x:v>
      </x:c>
      <x:c r="B6" s="24" t="str">
        <x:v>Critical customer or multi-customer impact; no viable workaround</x:v>
      </x:c>
      <x:c r="C6" s="27" t="n">
        <x:v>0.25</x:v>
      </x:c>
      <x:c r="D6" s="27" t="n">
        <x:v>0.25</x:v>
      </x:c>
      <x:c r="E6" s="27" t="n">
        <x:v>0.16666666666666666</x:v>
      </x:c>
      <x:c r="F6" s="24" t="str">
        <x:v>Immediate</x:v>
      </x:c>
      <x:c r="G6" s="24" t="str">
        <x:v>Every 30 minutes</x:v>
      </x:c>
      <x:c r="H6" s="24" t="str">
        <x:v>Support Lead; Engineering resolves; CSM for relationship risk</x:v>
      </x:c>
    </x:row>
    <x:row r="7" ht="21.600000381469727" hidden="0" customHeight="1">
      <x:c r="A7" s="33" t="str">
        <x:v>P2</x:v>
      </x:c>
      <x:c r="B7" s="25" t="str">
        <x:v>Significant workflow, customer-experience, or account-health impact</x:v>
      </x:c>
      <x:c r="C7" s="28" t="n">
        <x:v>1</x:v>
      </x:c>
      <x:c r="D7" s="28" t="n">
        <x:v>1</x:v>
      </x:c>
      <x:c r="E7" s="28" t="n">
        <x:v>1</x:v>
      </x:c>
      <x:c r="F7" s="25" t="str">
        <x:v>50% of target or account-health risk</x:v>
      </x:c>
      <x:c r="G7" s="25" t="str">
        <x:v>Every 4 business hours</x:v>
      </x:c>
      <x:c r="H7" s="25" t="str">
        <x:v>Support coordinates; applicable resolution team owns fix</x:v>
      </x:c>
    </x:row>
    <x:row r="8" ht="21.600000381469727" hidden="0" customHeight="1">
      <x:c r="A8" s="35" t="str">
        <x:v>P3</x:v>
      </x:c>
      <x:c r="B8" s="25" t="str">
        <x:v>Routine defect, how-to, configuration, or manageable service request</x:v>
      </x:c>
      <x:c r="C8" s="28" t="n">
        <x:v>4</x:v>
      </x:c>
      <x:c r="D8" s="28" t="n">
        <x:v>4</x:v>
      </x:c>
      <x:c r="E8" s="28" t="n">
        <x:v>3</x:v>
      </x:c>
      <x:c r="F8" s="25" t="str">
        <x:v>75% of target or repeated contact</x:v>
      </x:c>
      <x:c r="G8" s="25" t="str">
        <x:v>Daily</x:v>
      </x:c>
      <x:c r="H8" s="25" t="str">
        <x:v>Support; Product/Engineering consulted when needed</x:v>
      </x:c>
    </x:row>
    <x:row r="9" ht="21.600000381469727" hidden="0" customHeight="1">
      <x:c r="A9" s="37" t="str">
        <x:v>P4</x:v>
      </x:c>
      <x:c r="B9" s="26" t="str">
        <x:v>General inquiry, enhancement, documentation, or non-urgent request</x:v>
      </x:c>
      <x:c r="C9" s="29" t="n">
        <x:v>10</x:v>
      </x:c>
      <x:c r="D9" s="29" t="n">
        <x:v>10</x:v>
      </x:c>
      <x:c r="E9" s="29" t="n">
        <x:v>5</x:v>
      </x:c>
      <x:c r="F9" s="26" t="str">
        <x:v>80% of target or emerging trend</x:v>
      </x:c>
      <x:c r="G9" s="26" t="str">
        <x:v>Every 3 business days / milestones</x:v>
      </x:c>
      <x:c r="H9" s="26" t="str">
        <x:v>Support or CS; Product receives categorized input</x:v>
      </x:c>
    </x:row>
    <x:row r="10"/>
    <x:row r="11" ht="15" hidden="0" customHeight="1">
      <x:c r="A11" s="11" t="str">
        <x:v>Operational definitions and monitoring rules</x:v>
      </x:c>
      <x:c r="B11" s="11" t="str">
        <x:v>Operational definitions and monitoring rules</x:v>
      </x:c>
      <x:c r="C11" s="11" t="str">
        <x:v>Operational definitions and monitoring rules</x:v>
      </x:c>
      <x:c r="D11" s="11" t="str">
        <x:v>Operational definitions and monitoring rules</x:v>
      </x:c>
      <x:c r="E11" s="11" t="str">
        <x:v>Operational definitions and monitoring rules</x:v>
      </x:c>
      <x:c r="F11" s="11" t="str">
        <x:v>Operational definitions and monitoring rules</x:v>
      </x:c>
      <x:c r="G11" s="11" t="str">
        <x:v>Operational definitions and monitoring rules</x:v>
      </x:c>
      <x:c r="H11" s="11" t="str">
        <x:v>Operational definitions and monitoring rules</x:v>
      </x:c>
    </x:row>
    <x:row r="12" ht="15" hidden="0" customHeight="1">
      <x:c r="A12" s="16" t="str">
        <x:v>Standard</x:v>
      </x:c>
      <x:c r="B12" s="16" t="str">
        <x:v>Operational expectation</x:v>
      </x:c>
    </x:row>
    <x:row r="13" ht="32.400001525878906" hidden="0" customHeight="1">
      <x:c r="A13" s="24" t="str">
        <x:v>First response</x:v>
      </x:c>
      <x:c r="B13" s="24" t="str">
        <x:v>A meaningful human response that acknowledges the issue, states the owner/next routing step, and gives the next-update time. An automated receipt does not qualify.</x:v>
      </x:c>
    </x:row>
    <x:row r="14" ht="32.400001525878906" hidden="0" customHeight="1">
      <x:c r="A14" s="25" t="str">
        <x:v>Assignment</x:v>
      </x:c>
      <x:c r="B14" s="25" t="str">
        <x:v>A named resolution owner accepts the request. A forwarded message without acceptance remains unassigned.</x:v>
      </x:c>
    </x:row>
    <x:row r="15" ht="21.600000381469727" hidden="0" customHeight="1">
      <x:c r="A15" s="25" t="str">
        <x:v>Customer updates</x:v>
      </x:c>
      <x:c r="B15" s="25" t="str">
        <x:v>Each update states impact, action completed or underway, current status, and the next update time.</x:v>
      </x:c>
    </x:row>
    <x:row r="16" ht="32.400001525878906" hidden="0" customHeight="1">
      <x:c r="A16" s="25" t="str">
        <x:v>Resolution / disposition</x:v>
      </x:c>
      <x:c r="B16" s="25" t="str">
        <x:v>The issue is fixed, a viable workaround restores the workflow, or an approved action plan/disposition is communicated and documented.</x:v>
      </x:c>
    </x:row>
    <x:row r="17" ht="32.400001525878906" hidden="0" customHeight="1">
      <x:c r="A17" s="25" t="str">
        <x:v>Follow-up</x:v>
      </x:c>
      <x:c r="B17" s="25" t="str">
        <x:v>P1/P2 within one business day after resolution; P3/P4 within two business days when flagged, reopened, or low-CSAT.</x:v>
      </x:c>
    </x:row>
    <x:row r="18" ht="32.400001525878906" hidden="0" customHeight="1">
      <x:c r="A18" s="26" t="str">
        <x:v>Monitoring</x:v>
      </x:c>
      <x:c r="B18" s="26" t="str">
        <x:v>Review P1/P2 and overdue work daily; publish SLA and exception reasons weekly; review root-cause and VOC trends monthly.</x:v>
      </x:c>
    </x:row>
    <x:row r="19"/>
    <x:row r="20" ht="15" hidden="0" customHeight="1">
      <x:c r="A20" s="41" t="str">
        <x:v>Prototype clock note: The workbook uses a 10-hour business-day calculation for P2–P4 and does not model holidays. A production implementation should use the company’s supported business calendar and preserve prior misses when priorities change.</x:v>
      </x:c>
      <x:c r="B20" s="41"/>
      <x:c r="C20" s="41"/>
      <x:c r="D20" s="41"/>
      <x:c r="E20" s="41"/>
      <x:c r="F20" s="41"/>
      <x:c r="G20" s="41"/>
      <x:c r="H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</x:row>
  </x:sheetData>
  <x:mergeCells>
    <x:mergeCell ref="A1:H1"/>
    <x:mergeCell ref="A2:H2"/>
    <x:mergeCell ref="A4:H4"/>
    <x:mergeCell ref="A11:H11"/>
    <x:mergeCell ref="A20:H20"/>
    <x:mergeCell ref="A21:H21"/>
    <x:mergeCell ref="A22:H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1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4" customHeight="1">
      <x:c r="A1" s="4" t="str">
        <x:v>Root Cause Analysis</x:v>
      </x:c>
      <x:c r="B1" s="4" t="str">
        <x:v>Root Cause Analysis</x:v>
      </x:c>
      <x:c r="C1" s="4" t="str">
        <x:v>Root Cause Analysis</x:v>
      </x:c>
      <x:c r="D1" s="4" t="str">
        <x:v>Root Cause Analysis</x:v>
      </x:c>
      <x:c r="E1" s="4" t="str">
        <x:v>Root Cause Analysis</x:v>
      </x:c>
      <x:c r="F1" s="4" t="str">
        <x:v>Root Cause Analysis</x:v>
      </x:c>
      <x:c r="G1" s="4" t="str">
        <x:v>Root Cause Analysis</x:v>
      </x:c>
      <x:c r="H1" s="4" t="str">
        <x:v>Root Cause Analysis</x:v>
      </x:c>
    </x:row>
    <x:row r="2" ht="32" customHeight="1">
      <x:c r="A2" s="8" t="str">
        <x:v>Illustrative findings based on the deliberately constructed 20-record sample. Counts are fictional hypotheses to validate—not evidence of actual company performance.</x:v>
      </x:c>
      <x:c r="B2" s="8" t="str">
        <x:v>Illustrative findings based on the deliberately constructed 20-record sample. Counts are fictional hypotheses to validate—not evidence of actual company performance.</x:v>
      </x:c>
      <x:c r="C2" s="8" t="str">
        <x:v>Illustrative findings based on the deliberately constructed 20-record sample. Counts are fictional hypotheses to validate—not evidence of actual company performance.</x:v>
      </x:c>
      <x:c r="D2" s="8" t="str">
        <x:v>Illustrative findings based on the deliberately constructed 20-record sample. Counts are fictional hypotheses to validate—not evidence of actual company performance.</x:v>
      </x:c>
      <x:c r="E2" s="8" t="str">
        <x:v>Illustrative findings based on the deliberately constructed 20-record sample. Counts are fictional hypotheses to validate—not evidence of actual company performance.</x:v>
      </x:c>
      <x:c r="F2" s="8" t="str">
        <x:v>Illustrative findings based on the deliberately constructed 20-record sample. Counts are fictional hypotheses to validate—not evidence of actual company performance.</x:v>
      </x:c>
      <x:c r="G2" s="8" t="str">
        <x:v>Illustrative findings based on the deliberately constructed 20-record sample. Counts are fictional hypotheses to validate—not evidence of actual company performance.</x:v>
      </x:c>
      <x:c r="H2" s="8" t="str">
        <x:v>Illustrative findings based on the deliberately constructed 20-record sample. Counts are fictional hypotheses to validate—not evidence of actual company performance.</x:v>
      </x:c>
    </x:row>
    <x:row r="4" ht="24" customHeight="1">
      <x:c r="A4" s="11" t="str">
        <x:v>Recurring issue themes and proposed actions</x:v>
      </x:c>
      <x:c r="B4" s="11" t="str">
        <x:v>Recurring issue themes and proposed actions</x:v>
      </x:c>
      <x:c r="C4" s="11" t="str">
        <x:v>Recurring issue themes and proposed actions</x:v>
      </x:c>
      <x:c r="D4" s="11" t="str">
        <x:v>Recurring issue themes and proposed actions</x:v>
      </x:c>
      <x:c r="E4" s="11" t="str">
        <x:v>Recurring issue themes and proposed actions</x:v>
      </x:c>
      <x:c r="F4" s="11" t="str">
        <x:v>Recurring issue themes and proposed actions</x:v>
      </x:c>
      <x:c r="G4" s="11" t="str">
        <x:v>Recurring issue themes and proposed actions</x:v>
      </x:c>
      <x:c r="H4" s="11" t="str">
        <x:v>Recurring issue themes and proposed actions</x:v>
      </x:c>
    </x:row>
    <x:row r="5" ht="15" hidden="0" customHeight="1">
      <x:c r="A5" s="16" t="str">
        <x:v>Issue Theme</x:v>
      </x:c>
      <x:c r="B5" s="16" t="str">
        <x:v>Count</x:v>
      </x:c>
      <x:c r="C5" s="16" t="str">
        <x:v>Share</x:v>
      </x:c>
      <x:c r="D5" s="16" t="str">
        <x:v>Likely Root Cause</x:v>
      </x:c>
      <x:c r="E5" s="16" t="str">
        <x:v>Customer Impact</x:v>
      </x:c>
      <x:c r="F5" s="16" t="str">
        <x:v>Business Impact</x:v>
      </x:c>
      <x:c r="G5" s="16" t="str">
        <x:v>Recommended Action</x:v>
      </x:c>
      <x:c r="H5" s="16" t="str">
        <x:v>Proposed Owner</x:v>
      </x:c>
    </x:row>
    <x:row r="6" ht="21.600000381469727" hidden="0" customHeight="1">
      <x:c r="A6" s="24" t="str">
        <x:v>Integration/API</x:v>
      </x:c>
      <x:c r="B6" s="143" t="n">
        <x:f>COUNTIF('Request Tracker'!$E$6:$E$25,A6)</x:f>
        <x:v>5</x:v>
      </x:c>
      <x:c r="C6" s="146" t="n">
        <x:f>B6/COUNTA('Request Tracker'!$A$6:$A$25)</x:f>
        <x:v>0.25</x:v>
      </x:c>
      <x:c r="D6" s="24" t="str">
        <x:v>Setup guidance and diagnostics are inconsistent</x:v>
      </x:c>
      <x:c r="E6" s="24" t="str">
        <x:v>Delayed launch or workflow activation</x:v>
      </x:c>
      <x:c r="F6" s="24" t="str">
        <x:v>Longer time to value and avoidable support volume</x:v>
      </x:c>
      <x:c r="G6" s="24" t="str">
        <x:v>Create a version-controlled checklist, preflight validation, and diagnostic template</x:v>
      </x:c>
      <x:c r="H6" s="24" t="str">
        <x:v>Product; Support/CS contribute cases</x:v>
      </x:c>
    </x:row>
    <x:row r="7" ht="21.600000381469727" hidden="0" customHeight="1">
      <x:c r="A7" s="25" t="str">
        <x:v>Access &amp; Permissions</x:v>
      </x:c>
      <x:c r="B7" s="144" t="n">
        <x:f>COUNTIF('Request Tracker'!$E$6:$E$25,A7)</x:f>
        <x:v>4</x:v>
      </x:c>
      <x:c r="C7" s="147" t="n">
        <x:f>B7/COUNTA('Request Tracker'!$A$6:$A$25)</x:f>
        <x:v>0.2</x:v>
      </x:c>
      <x:c r="D7" s="25" t="str">
        <x:v>Role definitions and provisioning steps are unclear</x:v>
      </x:c>
      <x:c r="E7" s="25" t="str">
        <x:v>Users cannot complete work or wait for an administrator</x:v>
      </x:c>
      <x:c r="F7" s="25" t="str">
        <x:v>Productivity loss, frustration, and adoption risk</x:v>
      </x:c>
      <x:c r="G7" s="25" t="str">
        <x:v>Publish a role matrix, administrator check, and clearer denied-action guidance</x:v>
      </x:c>
      <x:c r="H7" s="25" t="str">
        <x:v>Product and Support</x:v>
      </x:c>
    </x:row>
    <x:row r="8" ht="21.600000381469727" hidden="0" customHeight="1">
      <x:c r="A8" s="25" t="str">
        <x:v>Billing &amp; Renewal</x:v>
      </x:c>
      <x:c r="B8" s="144" t="n">
        <x:f>COUNTIF('Request Tracker'!$E$6:$E$25,A8)</x:f>
        <x:v>4</x:v>
      </x:c>
      <x:c r="C8" s="147" t="n">
        <x:f>B8/COUNTA('Request Tracker'!$A$6:$A$25)</x:f>
        <x:v>0.2</x:v>
      </x:c>
      <x:c r="D8" s="25" t="str">
        <x:v>CRM, contract, and billing handoffs rely on manual checks</x:v>
      </x:c>
      <x:c r="E8" s="25" t="str">
        <x:v>Incorrect invoice, delayed change, or renewal confusion</x:v>
      </x:c>
      <x:c r="F8" s="25" t="str">
        <x:v>Trust risk, credits, and possible revenue leakage</x:v>
      </x:c>
      <x:c r="G8" s="25" t="str">
        <x:v>Add required handoff fields, an exception queue, and second-person validation</x:v>
      </x:c>
      <x:c r="H8" s="25" t="str">
        <x:v>Operations with Finance/RevOps</x:v>
      </x:c>
    </x:row>
    <x:row r="9" ht="21.600000381469727" hidden="0" customHeight="1">
      <x:c r="A9" s="25" t="str">
        <x:v>Reporting &amp; Export</x:v>
      </x:c>
      <x:c r="B9" s="144" t="n">
        <x:f>COUNTIF('Request Tracker'!$E$6:$E$25,A9)</x:f>
        <x:v>4</x:v>
      </x:c>
      <x:c r="C9" s="147" t="n">
        <x:f>B9/COUNTA('Request Tracker'!$A$6:$A$25)</x:f>
        <x:v>0.2</x:v>
      </x:c>
      <x:c r="D9" s="25" t="str">
        <x:v>Field definitions, filters, and export behavior are not consistently explained</x:v>
      </x:c>
      <x:c r="E9" s="25" t="str">
        <x:v>Customers cannot produce or reconcile expected reports</x:v>
      </x:c>
      <x:c r="F9" s="25" t="str">
        <x:v>Higher support effort and lower perceived value</x:v>
      </x:c>
      <x:c r="G9" s="25" t="str">
        <x:v>Standardize diagnostics; separate education gaps from validated product demand</x:v>
      </x:c>
      <x:c r="H9" s="25" t="str">
        <x:v>Product with Support/Ops</x:v>
      </x:c>
    </x:row>
    <x:row r="10" ht="21.600000381469727" hidden="0" customHeight="1">
      <x:c r="A10" s="26" t="str">
        <x:v>Performance &amp; Availability</x:v>
      </x:c>
      <x:c r="B10" s="145" t="n">
        <x:f>COUNTIF('Request Tracker'!$E$6:$E$25,A10)</x:f>
        <x:v>3</x:v>
      </x:c>
      <x:c r="C10" s="148" t="n">
        <x:f>B10/COUNTA('Request Tracker'!$A$6:$A$25)</x:f>
        <x:v>0.15</x:v>
      </x:c>
      <x:c r="D10" s="26" t="str">
        <x:v>Usage spikes or degradation are detected after customer impact</x:v>
      </x:c>
      <x:c r="E10" s="26" t="str">
        <x:v>Workflow interruption and repeated status requests</x:v>
      </x:c>
      <x:c r="F10" s="26" t="str">
        <x:v>P1/P2 load, confidence risk, and support demand</x:v>
      </x:c>
      <x:c r="G10" s="26" t="str">
        <x:v>Review alert thresholds, incident communication, and post-incident action logs</x:v>
      </x:c>
      <x:c r="H10" s="26" t="str">
        <x:v>Engineering; Support distributes status</x:v>
      </x:c>
    </x:row>
    <x:row r="11"/>
    <x:row r="12" ht="15" hidden="0" customHeight="1">
      <x:c r="A12" s="11" t="str">
        <x:v>How Customer Success data can inform broader decisions</x:v>
      </x:c>
      <x:c r="B12" s="11" t="str">
        <x:v>How Customer Success data can inform broader decisions</x:v>
      </x:c>
      <x:c r="C12" s="11" t="str">
        <x:v>How Customer Success data can inform broader decisions</x:v>
      </x:c>
      <x:c r="D12" s="11" t="str">
        <x:v>How Customer Success data can inform broader decisions</x:v>
      </x:c>
      <x:c r="E12" s="11" t="str">
        <x:v>How Customer Success data can inform broader decisions</x:v>
      </x:c>
      <x:c r="F12" s="11" t="str">
        <x:v>How Customer Success data can inform broader decisions</x:v>
      </x:c>
      <x:c r="G12" s="11" t="str">
        <x:v>How Customer Success data can inform broader decisions</x:v>
      </x:c>
      <x:c r="H12" s="11" t="str">
        <x:v>How Customer Success data can inform broader decisions</x:v>
      </x:c>
    </x:row>
    <x:row r="13" ht="15" hidden="0" customHeight="1">
      <x:c r="A13" s="16" t="str">
        <x:v>Data Signal</x:v>
      </x:c>
      <x:c r="B13" s="16" t="str">
        <x:v>Decision It Can Support</x:v>
      </x:c>
      <x:c r="C13" s="16"/>
      <x:c r="D13" s="16"/>
      <x:c r="E13" s="16"/>
      <x:c r="F13" s="16" t="str">
        <x:v>Validation Needed</x:v>
      </x:c>
      <x:c r="G13" s="16"/>
      <x:c r="H13" s="16"/>
    </x:row>
    <x:row r="14" ht="15" hidden="0" customHeight="1">
      <x:c r="A14" s="24" t="str">
        <x:v>Integration issues early in lifecycle</x:v>
      </x:c>
      <x:c r="B14" s="24" t="str">
        <x:v>Improve onboarding and implementation checklists</x:v>
      </x:c>
      <x:c r="C14" s="24"/>
      <x:c r="D14" s="24"/>
      <x:c r="E14" s="24"/>
      <x:c r="F14" s="24" t="str">
        <x:v>Lifecycle stage, module usage, affected accounts</x:v>
      </x:c>
      <x:c r="G14" s="24"/>
      <x:c r="H14" s="24"/>
    </x:row>
    <x:row r="15" ht="15" hidden="0" customHeight="1">
      <x:c r="A15" s="25" t="str">
        <x:v>Permission tickets across roles</x:v>
      </x:c>
      <x:c r="B15" s="25" t="str">
        <x:v>Clarify role design and administrator education</x:v>
      </x:c>
      <x:c r="C15" s="25"/>
      <x:c r="D15" s="25"/>
      <x:c r="E15" s="25"/>
      <x:c r="F15" s="25" t="str">
        <x:v>Role, user type, denial path, repeat rate</x:v>
      </x:c>
      <x:c r="G15" s="25"/>
      <x:c r="H15" s="25"/>
    </x:row>
    <x:row r="16" ht="21.600000381469727" hidden="0" customHeight="1">
      <x:c r="A16" s="25" t="str">
        <x:v>Billing exceptions after manual handoffs</x:v>
      </x:c>
      <x:c r="B16" s="25" t="str">
        <x:v>Strengthen CRM/billing controls and approvals</x:v>
      </x:c>
      <x:c r="C16" s="25"/>
      <x:c r="D16" s="25"/>
      <x:c r="E16" s="25"/>
      <x:c r="F16" s="25" t="str">
        <x:v>Exception reason, credit amount, renewal timing</x:v>
      </x:c>
      <x:c r="G16" s="25"/>
      <x:c r="H16" s="25"/>
    </x:row>
    <x:row r="17" ht="15" hidden="0" customHeight="1">
      <x:c r="A17" s="25" t="str">
        <x:v>Repeated reporting requests</x:v>
      </x:c>
      <x:c r="B17" s="25" t="str">
        <x:v>Separate documentation gaps from roadmap demand</x:v>
      </x:c>
      <x:c r="C17" s="25"/>
      <x:c r="D17" s="25"/>
      <x:c r="E17" s="25"/>
      <x:c r="F17" s="25" t="str">
        <x:v>Ticket intent, workaround, customer breadth</x:v>
      </x:c>
      <x:c r="G17" s="25"/>
      <x:c r="H17" s="25"/>
    </x:row>
    <x:row r="18" ht="21.600000381469727" hidden="0" customHeight="1">
      <x:c r="A18" s="25" t="str">
        <x:v>Performance tickets clustered by time/module</x:v>
      </x:c>
      <x:c r="B18" s="25" t="str">
        <x:v>Review reliability investment and alert thresholds</x:v>
      </x:c>
      <x:c r="C18" s="25"/>
      <x:c r="D18" s="25"/>
      <x:c r="E18" s="25"/>
      <x:c r="F18" s="25" t="str">
        <x:v>Telemetry, concurrency, affected module</x:v>
      </x:c>
      <x:c r="G18" s="25"/>
      <x:c r="H18" s="25"/>
    </x:row>
    <x:row r="19" ht="21.600000381469727" hidden="0" customHeight="1">
      <x:c r="A19" s="26" t="str">
        <x:v>High escalation or low CSAT by category</x:v>
      </x:c>
      <x:c r="B19" s="26" t="str">
        <x:v>Prioritize quality improvements even at modest volume</x:v>
      </x:c>
      <x:c r="C19" s="26"/>
      <x:c r="D19" s="26"/>
      <x:c r="E19" s="26"/>
      <x:c r="F19" s="26" t="str">
        <x:v>Severity, sample size, comments, account risk</x:v>
      </x:c>
      <x:c r="G19" s="26"/>
      <x:c r="H19" s="26"/>
    </x:row>
  </x:sheetData>
  <x:mergeCells>
    <x:mergeCell ref="A1:H1"/>
    <x:mergeCell ref="A2:H2"/>
    <x:mergeCell ref="A4:H4"/>
    <x:mergeCell ref="A12:H12"/>
    <x:mergeCell ref="B13:E13"/>
    <x:mergeCell ref="F13:H13"/>
    <x:mergeCell ref="B14:E14"/>
    <x:mergeCell ref="F14:H14"/>
    <x:mergeCell ref="B15:E15"/>
    <x:mergeCell ref="F15:H15"/>
    <x:mergeCell ref="B16:E16"/>
    <x:mergeCell ref="F16:H16"/>
    <x:mergeCell ref="B17:E17"/>
    <x:mergeCell ref="F17:H17"/>
    <x:mergeCell ref="B18:E18"/>
    <x:mergeCell ref="F18:H18"/>
    <x:mergeCell ref="B19:E19"/>
    <x:mergeCell ref="F19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45" hidden="0" customWidth="1"/>
    <x:col min="5" max="5" width="20" hidden="0" customWidth="1"/>
  </x:cols>
  <x:sheetData>
    <x:row r="1" ht="34" customHeight="1">
      <x:c r="A1" s="4" t="str">
        <x:v>Data Dictionary &amp; Workbook Use</x:v>
      </x:c>
      <x:c r="B1" s="4" t="str">
        <x:v>Data Dictionary &amp; Workbook Use</x:v>
      </x:c>
      <x:c r="C1" s="4" t="str">
        <x:v>Data Dictionary &amp; Workbook Use</x:v>
      </x:c>
      <x:c r="D1" s="4" t="str">
        <x:v>Data Dictionary &amp; Workbook Use</x:v>
      </x:c>
      <x:c r="E1" s="4" t="str">
        <x:v>Data Dictionary &amp; Workbook Use</x:v>
      </x:c>
    </x:row>
    <x:row r="2" ht="32" customHeight="1">
      <x:c r="A2" s="8" t="str">
        <x:v>Use this sheet to keep definitions stable, explain input versus formula fields, and make the prototype auditable for another user.</x:v>
      </x:c>
      <x:c r="B2" s="8" t="str">
        <x:v>Use this sheet to keep definitions stable, explain input versus formula fields, and make the prototype auditable for another user.</x:v>
      </x:c>
      <x:c r="C2" s="8" t="str">
        <x:v>Use this sheet to keep definitions stable, explain input versus formula fields, and make the prototype auditable for another user.</x:v>
      </x:c>
      <x:c r="D2" s="8" t="str">
        <x:v>Use this sheet to keep definitions stable, explain input versus formula fields, and make the prototype auditable for another user.</x:v>
      </x:c>
      <x:c r="E2" s="8" t="str">
        <x:v>Use this sheet to keep definitions stable, explain input versus formula fields, and make the prototype auditable for another user.</x:v>
      </x:c>
    </x:row>
    <x:row r="4" ht="24" customHeight="1">
      <x:c r="A4" s="11" t="str">
        <x:v>Tracker field definitions</x:v>
      </x:c>
      <x:c r="B4" s="11" t="str">
        <x:v>Tracker field definitions</x:v>
      </x:c>
      <x:c r="C4" s="11" t="str">
        <x:v>Tracker field definitions</x:v>
      </x:c>
      <x:c r="D4" s="11" t="str">
        <x:v>Tracker field definitions</x:v>
      </x:c>
      <x:c r="E4" s="11" t="str">
        <x:v>Tracker field definitions</x:v>
      </x:c>
    </x:row>
    <x:row r="5" ht="15" hidden="0" customHeight="1">
      <x:c r="A5" s="16" t="str">
        <x:v>Field</x:v>
      </x:c>
      <x:c r="B5" s="16" t="str">
        <x:v>Type</x:v>
      </x:c>
      <x:c r="C5" s="16" t="str">
        <x:v>Allowed Values / Formula</x:v>
      </x:c>
      <x:c r="D5" s="16" t="str">
        <x:v>Operational Use</x:v>
      </x:c>
      <x:c r="E5" s="16" t="str">
        <x:v>Data Owner</x:v>
      </x:c>
    </x:row>
    <x:row r="6" ht="15" hidden="0" customHeight="1">
      <x:c r="A6" s="24" t="str">
        <x:v>Ticket ID</x:v>
      </x:c>
      <x:c r="B6" s="24" t="str">
        <x:v>Input</x:v>
      </x:c>
      <x:c r="C6" s="24" t="str">
        <x:v>Unique text</x:v>
      </x:c>
      <x:c r="D6" s="24" t="str">
        <x:v>Primary identifier across systems and escalations</x:v>
      </x:c>
      <x:c r="E6" s="24" t="str">
        <x:v>Support</x:v>
      </x:c>
    </x:row>
    <x:row r="7" ht="15" hidden="0" customHeight="1">
      <x:c r="A7" s="25" t="str">
        <x:v>Customer</x:v>
      </x:c>
      <x:c r="B7" s="25" t="str">
        <x:v>Input</x:v>
      </x:c>
      <x:c r="C7" s="25" t="str">
        <x:v>Fictional account name</x:v>
      </x:c>
      <x:c r="D7" s="25" t="str">
        <x:v>Connects request activity to account context</x:v>
      </x:c>
      <x:c r="E7" s="25" t="str">
        <x:v>Support / CS</x:v>
      </x:c>
    </x:row>
    <x:row r="8" ht="15" hidden="0" customHeight="1">
      <x:c r="A8" s="25" t="str">
        <x:v>Account Tier</x:v>
      </x:c>
      <x:c r="B8" s="25" t="str">
        <x:v>Validated input</x:v>
      </x:c>
      <x:c r="C8" s="25" t="str">
        <x:v>Strategic / Growth / Standard</x:v>
      </x:c>
      <x:c r="D8" s="25" t="str">
        <x:v>Segments communication planning; does not determine severity</x:v>
      </x:c>
      <x:c r="E8" s="25" t="str">
        <x:v>Customer Success</x:v>
      </x:c>
    </x:row>
    <x:row r="9" ht="15" hidden="0" customHeight="1">
      <x:c r="A9" s="25" t="str">
        <x:v>Request Channel</x:v>
      </x:c>
      <x:c r="B9" s="25" t="str">
        <x:v>Validated input</x:v>
      </x:c>
      <x:c r="C9" s="25" t="str">
        <x:v>Email / Support Portal / Chat / Account Manager / CSM</x:v>
      </x:c>
      <x:c r="D9" s="25" t="str">
        <x:v>Shows entry-channel volume and routing risk</x:v>
      </x:c>
      <x:c r="E9" s="25" t="str">
        <x:v>Support</x:v>
      </x:c>
    </x:row>
    <x:row r="10" ht="15" hidden="0" customHeight="1">
      <x:c r="A10" s="25" t="str">
        <x:v>Issue Category</x:v>
      </x:c>
      <x:c r="B10" s="25" t="str">
        <x:v>Validated input</x:v>
      </x:c>
      <x:c r="C10" s="25" t="str">
        <x:v>Five standard categories in this prototype</x:v>
      </x:c>
      <x:c r="D10" s="25" t="str">
        <x:v>Enables routing, trend, VOC, and root-cause analysis</x:v>
      </x:c>
      <x:c r="E10" s="25" t="str">
        <x:v>Operations</x:v>
      </x:c>
    </x:row>
    <x:row r="11" ht="15" hidden="0" customHeight="1">
      <x:c r="A11" s="25" t="str">
        <x:v>Priority</x:v>
      </x:c>
      <x:c r="B11" s="25" t="str">
        <x:v>Validated input</x:v>
      </x:c>
      <x:c r="C11" s="25" t="str">
        <x:v>P1 / P2 / P3 / P4</x:v>
      </x:c>
      <x:c r="D11" s="25" t="str">
        <x:v>Drives service targets and escalation thresholds</x:v>
      </x:c>
      <x:c r="E11" s="25" t="str">
        <x:v>Support; Ops audits</x:v>
      </x:c>
    </x:row>
    <x:row r="12" ht="15" hidden="0" customHeight="1">
      <x:c r="A12" s="25" t="str">
        <x:v>Date Submitted</x:v>
      </x:c>
      <x:c r="B12" s="25" t="str">
        <x:v>Input</x:v>
      </x:c>
      <x:c r="C12" s="25" t="str">
        <x:v>Date and time, CT</x:v>
      </x:c>
      <x:c r="D12" s="25" t="str">
        <x:v>Starts the applicable service clock</x:v>
      </x:c>
      <x:c r="E12" s="25" t="str">
        <x:v>Support</x:v>
      </x:c>
    </x:row>
    <x:row r="13" ht="15" hidden="0" customHeight="1">
      <x:c r="A13" s="25" t="str">
        <x:v>Assigned Owner / Team</x:v>
      </x:c>
      <x:c r="B13" s="25" t="str">
        <x:v>Input</x:v>
      </x:c>
      <x:c r="C13" s="25" t="str">
        <x:v>Named owner plus accountable team</x:v>
      </x:c>
      <x:c r="D13" s="25" t="str">
        <x:v>Establishes visible ownership and workload reporting</x:v>
      </x:c>
      <x:c r="E13" s="25" t="str">
        <x:v>Support / manager</x:v>
      </x:c>
    </x:row>
    <x:row r="14" ht="15" hidden="0" customHeight="1">
      <x:c r="A14" s="25" t="str">
        <x:v>Assignment Target / Time / SLA</x:v>
      </x:c>
      <x:c r="B14" s="25" t="str">
        <x:v>Formula</x:v>
      </x:c>
      <x:c r="C14" s="25" t="str">
        <x:v>Priority lookup + business-hour proxy</x:v>
      </x:c>
      <x:c r="D14" s="25" t="str">
        <x:v>Monitors routing and handoff performance</x:v>
      </x:c>
      <x:c r="E14" s="25" t="str">
        <x:v>Operations</x:v>
      </x:c>
    </x:row>
    <x:row r="15" ht="15" hidden="0" customHeight="1">
      <x:c r="A15" s="25" t="str">
        <x:v>First Response Target / Time / SLA</x:v>
      </x:c>
      <x:c r="B15" s="25" t="str">
        <x:v>Formula</x:v>
      </x:c>
      <x:c r="C15" s="25" t="str">
        <x:v>Priority lookup + business-hour proxy</x:v>
      </x:c>
      <x:c r="D15" s="25" t="str">
        <x:v>Monitors meaningful acknowledgment speed</x:v>
      </x:c>
      <x:c r="E15" s="25" t="str">
        <x:v>Operations</x:v>
      </x:c>
    </x:row>
    <x:row r="16" ht="15" hidden="0" customHeight="1">
      <x:c r="A16" s="25" t="str">
        <x:v>SLA Deadline</x:v>
      </x:c>
      <x:c r="B16" s="25" t="str">
        <x:v>Formula</x:v>
      </x:c>
      <x:c r="C16" s="25" t="str">
        <x:v>Priority lookup; P1 elapsed, P2–P4 WORKDAY</x:v>
      </x:c>
      <x:c r="D16" s="25" t="str">
        <x:v>Visible resolution/disposition commitment</x:v>
      </x:c>
      <x:c r="E16" s="25" t="str">
        <x:v>Operations</x:v>
      </x:c>
    </x:row>
    <x:row r="17" ht="15" hidden="0" customHeight="1">
      <x:c r="A17" s="25" t="str">
        <x:v>Status</x:v>
      </x:c>
      <x:c r="B17" s="25" t="str">
        <x:v>Validated input</x:v>
      </x:c>
      <x:c r="C17" s="25" t="str">
        <x:v>New through Closed</x:v>
      </x:c>
      <x:c r="D17" s="25" t="str">
        <x:v>Provides lifecycle, backlog, and aging view</x:v>
      </x:c>
      <x:c r="E17" s="25" t="str">
        <x:v>Assigned owner</x:v>
      </x:c>
    </x:row>
    <x:row r="18" ht="15" hidden="0" customHeight="1">
      <x:c r="A18" s="25" t="str">
        <x:v>Escalation Status</x:v>
      </x:c>
      <x:c r="B18" s="25" t="str">
        <x:v>Validated input</x:v>
      </x:c>
      <x:c r="C18" s="25" t="str">
        <x:v>No / Level 1 / Level 2 / Level 3</x:v>
      </x:c>
      <x:c r="D18" s="25" t="str">
        <x:v>Shows coordination load and business risk</x:v>
      </x:c>
      <x:c r="E18" s="25" t="str">
        <x:v>Escalation lead</x:v>
      </x:c>
    </x:row>
    <x:row r="19" ht="15" hidden="0" customHeight="1">
      <x:c r="A19" s="25" t="str">
        <x:v>Resolution Date / Time / SLA</x:v>
      </x:c>
      <x:c r="B19" s="25" t="str">
        <x:v>Input + formula</x:v>
      </x:c>
      <x:c r="C19" s="25" t="str">
        <x:v>Resolution timestamp and calculated business hours</x:v>
      </x:c>
      <x:c r="D19" s="25" t="str">
        <x:v>Supports resolution efficiency and service reliability</x:v>
      </x:c>
      <x:c r="E19" s="25" t="str">
        <x:v>Assigned owner / Ops</x:v>
      </x:c>
    </x:row>
    <x:row r="20" ht="15" hidden="0" customHeight="1">
      <x:c r="A20" s="25" t="str">
        <x:v>Overall SLA Met</x:v>
      </x:c>
      <x:c r="B20" s="25" t="str">
        <x:v>Formula</x:v>
      </x:c>
      <x:c r="C20" s="25" t="str">
        <x:v>Yes when assignment, response, and resolution all meet target</x:v>
      </x:c>
      <x:c r="D20" s="25" t="str">
        <x:v>Prevents one good checkpoint from hiding another miss</x:v>
      </x:c>
      <x:c r="E20" s="25" t="str">
        <x:v>Operations</x:v>
      </x:c>
    </x:row>
    <x:row r="21" ht="15" hidden="0" customHeight="1">
      <x:c r="A21" s="25" t="str">
        <x:v>Root Cause</x:v>
      </x:c>
      <x:c r="B21" s="25" t="str">
        <x:v>Input</x:v>
      </x:c>
      <x:c r="C21" s="25" t="str">
        <x:v>Standard cause family plus concise detail</x:v>
      </x:c>
      <x:c r="D21" s="25" t="str">
        <x:v>Connects individual requests to preventive action</x:v>
      </x:c>
      <x:c r="E21" s="25" t="str">
        <x:v>Resolution team</x:v>
      </x:c>
    </x:row>
    <x:row r="22" ht="15" hidden="0" customHeight="1">
      <x:c r="A22" s="25" t="str">
        <x:v>Customer Satisfaction</x:v>
      </x:c>
      <x:c r="B22" s="25" t="str">
        <x:v>Validated input</x:v>
      </x:c>
      <x:c r="C22" s="25" t="str">
        <x:v>1–5 or blank</x:v>
      </x:c>
      <x:c r="D22" s="25" t="str">
        <x:v>Measures post-resolution experience; report response rate</x:v>
      </x:c>
      <x:c r="E22" s="25" t="str">
        <x:v>Operations / CS</x:v>
      </x:c>
    </x:row>
    <x:row r="23" ht="15" hidden="0" customHeight="1">
      <x:c r="A23" s="25" t="str">
        <x:v>Follow-Up Required</x:v>
      </x:c>
      <x:c r="B23" s="25" t="str">
        <x:v>Validated input</x:v>
      </x:c>
      <x:c r="C23" s="25" t="str">
        <x:v>Yes / No</x:v>
      </x:c>
      <x:c r="D23" s="25" t="str">
        <x:v>Prevents relationship or recovery work from disappearing at resolution</x:v>
      </x:c>
      <x:c r="E23" s="25" t="str">
        <x:v>CS / Support</x:v>
      </x:c>
    </x:row>
    <x:row r="24" ht="15" hidden="0" customHeight="1">
      <x:c r="A24" s="25" t="str">
        <x:v>Repeat Issue</x:v>
      </x:c>
      <x:c r="B24" s="25" t="str">
        <x:v>Validated input</x:v>
      </x:c>
      <x:c r="C24" s="25" t="str">
        <x:v>Yes / No</x:v>
      </x:c>
      <x:c r="D24" s="25" t="str">
        <x:v>Supports 30-day repeat-rate and RCA selection</x:v>
      </x:c>
      <x:c r="E24" s="25" t="str">
        <x:v>Operations</x:v>
      </x:c>
    </x:row>
    <x:row r="25" ht="15" hidden="0" customHeight="1">
      <x:c r="A25" s="25" t="str">
        <x:v>Update Cadence</x:v>
      </x:c>
      <x:c r="B25" s="25" t="str">
        <x:v>Formula</x:v>
      </x:c>
      <x:c r="C25" s="25" t="str">
        <x:v>Priority lookup</x:v>
      </x:c>
      <x:c r="D25" s="25" t="str">
        <x:v>Makes communication expectation visible</x:v>
      </x:c>
      <x:c r="E25" s="25" t="str">
        <x:v>Operations</x:v>
      </x:c>
    </x:row>
    <x:row r="26" ht="15" hidden="0" customHeight="1">
      <x:c r="A26" s="25" t="str">
        <x:v>Required Update Compliance</x:v>
      </x:c>
      <x:c r="B26" s="25" t="str">
        <x:v>Validated audit result</x:v>
      </x:c>
      <x:c r="C26" s="25" t="str">
        <x:v>Yes / No / N/A</x:v>
      </x:c>
      <x:c r="D26" s="25" t="str">
        <x:v>Supports P1/P2 update-compliance monitoring</x:v>
      </x:c>
      <x:c r="E26" s="25" t="str">
        <x:v>Support Lead</x:v>
      </x:c>
    </x:row>
    <x:row r="27" ht="15" hidden="0" customHeight="1">
      <x:c r="A27" s="26" t="str">
        <x:v>Notes</x:v>
      </x:c>
      <x:c r="B27" s="26" t="str">
        <x:v>Input</x:v>
      </x:c>
      <x:c r="C27" s="26" t="str">
        <x:v>Concise factual status / decision / dependency</x:v>
      </x:c>
      <x:c r="D27" s="26" t="str">
        <x:v>Preserves context without credentials or unnecessary sensitive data</x:v>
      </x:c>
      <x:c r="E27" s="26" t="str">
        <x:v>Assigned owner</x:v>
      </x:c>
    </x:row>
    <x:row r="28"/>
    <x:row r="29" ht="15" hidden="0" customHeight="1">
      <x:c r="A29" s="11" t="str">
        <x:v>How to use the prototype</x:v>
      </x:c>
      <x:c r="B29" s="11" t="str">
        <x:v>How to use the prototype</x:v>
      </x:c>
      <x:c r="C29" s="11" t="str">
        <x:v>How to use the prototype</x:v>
      </x:c>
      <x:c r="D29" s="11" t="str">
        <x:v>How to use the prototype</x:v>
      </x:c>
      <x:c r="E29" s="11" t="str">
        <x:v>How to use the prototype</x:v>
      </x:c>
    </x:row>
    <x:row r="30" ht="15" hidden="0" customHeight="1">
      <x:c r="A30" s="24" t="str">
        <x:v>1</x:v>
      </x:c>
      <x:c r="B30" s="24" t="str">
        <x:v>Add one row per canonical request</x:v>
      </x:c>
      <x:c r="C30" s="24" t="str">
        <x:v>Link duplicates rather than counting the same incident as unrelated work</x:v>
      </x:c>
      <x:c r="D30"/>
      <x:c r="E30"/>
    </x:row>
    <x:row r="31" ht="15" hidden="0" customHeight="1">
      <x:c r="A31" s="25" t="str">
        <x:v>2</x:v>
      </x:c>
      <x:c r="B31" s="25" t="str">
        <x:v>Complete input fields</x:v>
      </x:c>
      <x:c r="C31" s="25" t="str">
        <x:v>Use validated lists for tier, channel, category, priority, team, status, escalation, and follow-up</x:v>
      </x:c>
      <x:c r="D31"/>
      <x:c r="E31"/>
    </x:row>
    <x:row r="32" ht="15" hidden="0" customHeight="1">
      <x:c r="A32" s="25" t="str">
        <x:v>3</x:v>
      </x:c>
      <x:c r="B32" s="25" t="str">
        <x:v>Do not overwrite formula columns</x:v>
      </x:c>
      <x:c r="C32" s="25" t="str">
        <x:v>Targets, deadlines, elapsed times, cadence, and SLA results calculate from inputs</x:v>
      </x:c>
      <x:c r="D32"/>
      <x:c r="E32"/>
    </x:row>
    <x:row r="33" ht="15" hidden="0" customHeight="1">
      <x:c r="A33" s="25" t="str">
        <x:v>4</x:v>
      </x:c>
      <x:c r="B33" s="25" t="str">
        <x:v>Review exceptions daily</x:v>
      </x:c>
      <x:c r="C33" s="25" t="str">
        <x:v>P1/P2, unassigned work, missed updates, open/overdue requests, and escalations</x:v>
      </x:c>
      <x:c r="D33"/>
      <x:c r="E33"/>
    </x:row>
    <x:row r="34" ht="15" hidden="0" customHeight="1">
      <x:c r="A34" s="25" t="str">
        <x:v>5</x:v>
      </x:c>
      <x:c r="B34" s="25" t="str">
        <x:v>Review performance weekly</x:v>
      </x:c>
      <x:c r="C34" s="25" t="str">
        <x:v>Segment by priority, tier, channel, category, team, and breach reason</x:v>
      </x:c>
      <x:c r="D34"/>
      <x:c r="E34"/>
    </x:row>
    <x:row r="35" ht="15" hidden="0" customHeight="1">
      <x:c r="A35" s="25" t="str">
        <x:v>6</x:v>
      </x:c>
      <x:c r="B35" s="25" t="str">
        <x:v>Convert trends into actions</x:v>
      </x:c>
      <x:c r="C35" s="25" t="str">
        <x:v>Use root-cause and VOC reviews to assign an owner, target, due date, and remeasurement plan</x:v>
      </x:c>
      <x:c r="D35"/>
      <x:c r="E35"/>
    </x:row>
    <x:row r="36" ht="15" hidden="0" customHeight="1">
      <x:c r="A36" s="26" t="str">
        <x:v>7</x:v>
      </x:c>
      <x:c r="B36" s="26" t="str">
        <x:v>Validate before scaling</x:v>
      </x:c>
      <x:c r="C36" s="26" t="str">
        <x:v>This small fictional sample tests design—not statistical significance or achieved results</x:v>
      </x:c>
      <x:c r="D36"/>
      <x:c r="E36"/>
    </x:row>
    <x:row r="37"/>
    <x:row r="38" ht="21.600000381469727" hidden="0" customHeight="1">
      <x:c r="A38" s="167" t="str">
        <x:v>Simulation disclosure: Asterline Software, the customers, ticket records, analysis, targets, and expected impacts are fictional. This workbook demonstrates coordinator/analyst-level operational thinking and should not be presented as employer work or achieved business results.</x:v>
      </x:c>
      <x:c r="B38" s="168"/>
      <x:c r="C38" s="168"/>
      <x:c r="D38" s="168"/>
      <x:c r="E38" s="169"/>
    </x:row>
    <x:row r="39" ht="15" hidden="0" customHeight="1">
      <x:c r="A39" s="170"/>
      <x:c r="B39" s="171"/>
      <x:c r="C39" s="171"/>
      <x:c r="D39" s="171"/>
      <x:c r="E39" s="172"/>
    </x:row>
    <x:row r="40" ht="15" hidden="0" customHeight="1">
      <x:c r="A40" s="173"/>
      <x:c r="B40" s="174"/>
      <x:c r="C40" s="174"/>
      <x:c r="D40" s="174"/>
      <x:c r="E40" s="175"/>
    </x:row>
  </x:sheetData>
  <x:mergeCells>
    <x:mergeCell ref="A1:E1"/>
    <x:mergeCell ref="A2:E2"/>
    <x:mergeCell ref="A4:E4"/>
    <x:mergeCell ref="A29:E29"/>
    <x:mergeCell ref="C30:E30"/>
    <x:mergeCell ref="C31:E31"/>
    <x:mergeCell ref="C32:E32"/>
    <x:mergeCell ref="C33:E33"/>
    <x:mergeCell ref="C34:E34"/>
    <x:mergeCell ref="C35:E35"/>
    <x:mergeCell ref="C36:E36"/>
    <x:mergeCell ref="A38:E38"/>
    <x:mergeCell ref="A39:E39"/>
    <x:mergeCell ref="A40:E40"/>
  </x:mergeCells>
  <x:pageMargins left="0.7" right="0.7" top="0.75" bottom="0.75" header="0.3" footer="0.3"/>
</x:worksheet>
</file>