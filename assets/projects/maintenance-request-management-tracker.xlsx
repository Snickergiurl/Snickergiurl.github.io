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a63461529483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baacef2d82d842da"/>
    <x:sheet xmlns:r="http://schemas.openxmlformats.org/officeDocument/2006/relationships" name="Work Orders" sheetId="2" r:id="Rccb72cbf58194c92"/>
    <x:sheet xmlns:r="http://schemas.openxmlformats.org/officeDocument/2006/relationships" name="Preventive Maintenance" sheetId="3" r:id="Rc2d65399b01841b1"/>
    <x:sheet xmlns:r="http://schemas.openxmlformats.org/officeDocument/2006/relationships" name="Vendors" sheetId="4" r:id="R715e5474c10d4430"/>
    <x:sheet xmlns:r="http://schemas.openxmlformats.org/officeDocument/2006/relationships" name="Lists &amp; SLA" sheetId="5" r:id="R897893a7fb9b4ab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7">
    <x:numFmt numFmtId="200" formatCode="0.00"/>
    <x:numFmt numFmtId="201" formatCode="0%"/>
    <x:numFmt numFmtId="202" formatCode="m/d/yyyy h:mm AM/PM"/>
    <x:numFmt numFmtId="203" formatCode="0.0"/>
    <x:numFmt numFmtId="204" formatCode="$#,##0"/>
    <x:numFmt numFmtId="205" formatCode="m/d/yyyy"/>
    <x:numFmt numFmtId="206" formatCode="0"/>
  </x:numFmts>
  <x:fonts count="14">
    <x:font>
      <x:sz val="11"/>
      <x:name val="Carlito"/>
    </x:font>
    <x:font>
      <x:b/>
      <x:sz val="20"/>
      <x:color rgb="FFFFFFFF"/>
      <x:name val="Aptos Display"/>
    </x:font>
    <x:font>
      <x:sz val="10"/>
      <x:color rgb="FF243746"/>
      <x:name val="Aptos"/>
    </x:font>
    <x:font>
      <x:b/>
      <x:sz val="9"/>
      <x:color rgb="FFFFFFFF"/>
      <x:name val="Aptos"/>
    </x:font>
    <x:font>
      <x:sz val="9"/>
      <x:color rgb="FF243746"/>
      <x:name val="Aptos"/>
    </x:font>
    <x:font>
      <x:i/>
      <x:sz val="9"/>
      <x:color rgb="FF607483"/>
      <x:name val="Aptos"/>
    </x:font>
    <x:font>
      <x:sz val="11"/>
      <x:color rgb="FF243746"/>
      <x:name val="Aptos"/>
    </x:font>
    <x:font>
      <x:b/>
      <x:sz val="19"/>
      <x:color rgb="FF17324D"/>
      <x:name val="Aptos Display"/>
    </x:font>
    <x:font>
      <x:sz val="9"/>
      <x:color rgb="FF607483"/>
      <x:name val="Aptos"/>
    </x:font>
    <x:font>
      <x:b/>
      <x:sz val="8"/>
      <x:color rgb="FFA86400"/>
      <x:name val="Aptos"/>
    </x:font>
    <x:font>
      <x:b/>
      <x:sz val="9"/>
      <x:color rgb="FF07566A"/>
      <x:name val="Aptos"/>
    </x:font>
    <x:font>
      <x:b/>
      <x:sz val="9"/>
      <x:color rgb="FF1F5F99"/>
      <x:name val="Aptos"/>
    </x:font>
    <x:font>
      <x:b/>
      <x:sz val="10"/>
      <x:color rgb="FFFFFFFF"/>
      <x:name val="Aptos"/>
    </x:font>
    <x:font>
      <x:b/>
      <x:sz val="9"/>
      <x:color rgb="FF17324D"/>
      <x:name val="Aptos"/>
    </x:font>
  </x:fonts>
  <x:fills count="10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AF1F5"/>
      </x:patternFill>
    </x:fill>
    <x:fill>
      <x:patternFill patternType="solid">
        <x:fgColor rgb="FF07566A"/>
      </x:patternFill>
    </x:fill>
    <x:fill>
      <x:patternFill patternType="solid">
        <x:fgColor rgb="FFFFF4D6"/>
      </x:patternFill>
    </x:fill>
    <x:fill>
      <x:patternFill patternType="solid">
        <x:fgColor rgb="FFF4F6F7"/>
      </x:patternFill>
    </x:fill>
    <x:fill>
      <x:patternFill patternType="solid">
        <x:fgColor rgb="FFEDF6F8"/>
      </x:patternFill>
    </x:fill>
    <x:fill>
      <x:patternFill patternType="solid">
        <x:fgColor rgb="FFFFFFFF"/>
      </x:patternFill>
    </x:fill>
    <x:fill>
      <x:patternFill patternType="solid">
        <x:fgColor rgb="FF0B7189"/>
      </x:patternFill>
    </x:fill>
  </x:fills>
  <x:borders count="27">
    <x:border/>
    <x:border>
      <x:left style="thin">
        <x:color rgb="FF07566A"/>
      </x:left>
      <x:top style="thin">
        <x:color rgb="FF07566A"/>
      </x:top>
      <x:bottom style="thin">
        <x:color rgb="FF07566A"/>
      </x:bottom>
    </x:border>
    <x:border>
      <x:top style="thin">
        <x:color rgb="FF07566A"/>
      </x:top>
      <x:bottom style="thin">
        <x:color rgb="FF07566A"/>
      </x:bottom>
    </x:border>
    <x:border>
      <x:right style="thin">
        <x:color rgb="FF07566A"/>
      </x:right>
      <x:top style="thin">
        <x:color rgb="FF07566A"/>
      </x:top>
      <x:bottom style="thin">
        <x:color rgb="FF07566A"/>
      </x:bottom>
    </x:border>
    <x:border>
      <x:right style="thin">
        <x:color rgb="FFD5DEE3"/>
      </x:right>
      <x:bottom style="thin">
        <x:color rgb="FFD5DEE3"/>
      </x:bottom>
    </x:border>
    <x:border>
      <x:left style="thin">
        <x:color rgb="FFD5DEE3"/>
      </x:left>
      <x:right style="thin">
        <x:color rgb="FFD5DEE3"/>
      </x:right>
      <x:bottom style="thin">
        <x:color rgb="FFD5DEE3"/>
      </x:bottom>
    </x:border>
    <x:border>
      <x:left style="thin">
        <x:color rgb="FFD5DEE3"/>
      </x:left>
      <x:bottom style="thin">
        <x:color rgb="FFD5DEE3"/>
      </x:bottom>
    </x:border>
    <x:border>
      <x:right style="thin">
        <x:color rgb="FFD5DEE3"/>
      </x:right>
      <x:top style="thin">
        <x:color rgb="FFD5DEE3"/>
      </x:top>
      <x:bottom style="thin">
        <x:color rgb="FFD5DEE3"/>
      </x:bottom>
    </x:border>
    <x:border>
      <x:left style="thin">
        <x:color rgb="FFD5DEE3"/>
      </x:left>
      <x:right style="thin">
        <x:color rgb="FFD5DEE3"/>
      </x:right>
      <x:top style="thin">
        <x:color rgb="FFD5DEE3"/>
      </x:top>
      <x:bottom style="thin">
        <x:color rgb="FFD5DEE3"/>
      </x:bottom>
    </x:border>
    <x:border>
      <x:left style="thin">
        <x:color rgb="FFD5DEE3"/>
      </x:left>
      <x:top style="thin">
        <x:color rgb="FFD5DEE3"/>
      </x:top>
      <x:bottom style="thin">
        <x:color rgb="FFD5DEE3"/>
      </x:bottom>
    </x:border>
    <x:border>
      <x:right style="thin">
        <x:color rgb="FFD5DEE3"/>
      </x:right>
      <x:top style="thin">
        <x:color rgb="FFD5DEE3"/>
      </x:top>
    </x:border>
    <x:border>
      <x:left style="thin">
        <x:color rgb="FFD5DEE3"/>
      </x:left>
      <x:right style="thin">
        <x:color rgb="FFD5DEE3"/>
      </x:right>
      <x:top style="thin">
        <x:color rgb="FFD5DEE3"/>
      </x:top>
    </x:border>
    <x:border>
      <x:left style="thin">
        <x:color rgb="FFD5DEE3"/>
      </x:left>
      <x:top style="thin">
        <x:color rgb="FFD5DEE3"/>
      </x:top>
    </x:border>
    <x:border>
      <x:left style="thin">
        <x:color rgb="FF07566A"/>
      </x:left>
      <x:right style="thin">
        <x:color rgb="FF07566A"/>
      </x:right>
      <x:top style="thin">
        <x:color rgb="FF07566A"/>
      </x:top>
      <x:bottom style="thin">
        <x:color rgb="FF07566A"/>
      </x:bottom>
    </x:border>
    <x:border>
      <x:bottom style="thin">
        <x:color rgb="FFD5DEE3"/>
      </x:bottom>
    </x:border>
    <x:border>
      <x:top style="thin">
        <x:color rgb="FFD5DEE3"/>
      </x:top>
      <x:bottom style="thin">
        <x:color rgb="FFD5DEE3"/>
      </x:bottom>
    </x:border>
    <x:border>
      <x:top style="thin">
        <x:color rgb="FFD5DEE3"/>
      </x:top>
    </x:border>
    <x:border>
      <x:left style="thin">
        <x:color rgb="FFD5DEE3"/>
      </x:left>
    </x:border>
    <x:border>
      <x:right style="thin">
        <x:color rgb="FFD5DEE3"/>
      </x:right>
    </x:border>
    <x:border>
      <x:left style="thin">
        <x:color rgb="FFD99A2B"/>
      </x:left>
      <x:top style="thin">
        <x:color rgb="FFD99A2B"/>
      </x:top>
    </x:border>
    <x:border>
      <x:top style="thin">
        <x:color rgb="FFD99A2B"/>
      </x:top>
    </x:border>
    <x:border>
      <x:right style="thin">
        <x:color rgb="FFD99A2B"/>
      </x:right>
      <x:top style="thin">
        <x:color rgb="FFD99A2B"/>
      </x:top>
    </x:border>
    <x:border>
      <x:left style="thin">
        <x:color rgb="FFD99A2B"/>
      </x:left>
    </x:border>
    <x:border>
      <x:right style="thin">
        <x:color rgb="FFD99A2B"/>
      </x:right>
    </x:border>
    <x:border>
      <x:left style="thin">
        <x:color rgb="FFD99A2B"/>
      </x:left>
      <x:bottom style="thin">
        <x:color rgb="FFD99A2B"/>
      </x:bottom>
    </x:border>
    <x:border>
      <x:bottom style="thin">
        <x:color rgb="FFD99A2B"/>
      </x:bottom>
    </x:border>
    <x:border>
      <x:right style="thin">
        <x:color rgb="FFD99A2B"/>
      </x:right>
      <x:bottom style="thin">
        <x:color rgb="FFD99A2B"/>
      </x:bottom>
    </x:border>
  </x:borders>
  <x:cellStyleXfs count="1">
    <x:xf numFmtId="0" fontId="0" fillId="0" borderId="0"/>
  </x:cellStyleXfs>
  <x:cellXfs count="1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horizontal="left"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2" xfId="0" applyNumberFormat="1" applyFont="1" applyFill="1" applyBorder="1" applyAlignment="1">
      <x:alignment horizontal="center" wrapText="1"/>
    </x:xf>
    <x:xf numFmtId="0" fontId="3" fillId="4" borderId="3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0" borderId="0" xfId="0" applyNumberFormat="1" applyFont="1" applyFill="1" applyBorder="1"/>
    <x:xf numFmtId="0" fontId="4" fillId="5" borderId="4" xfId="0" applyNumberFormat="1" applyFont="1" applyFill="1" applyBorder="1"/>
    <x:xf numFmtId="0" fontId="4" fillId="5" borderId="5" xfId="0" applyNumberFormat="1" applyFont="1" applyFill="1" applyBorder="1"/>
    <x:xf numFmtId="0" fontId="4" fillId="0" borderId="5" xfId="0" applyNumberFormat="1" applyFont="1" applyFill="1" applyBorder="1"/>
    <x:xf numFmtId="0" fontId="4" fillId="0" borderId="6" xfId="0" applyNumberFormat="1" applyFont="1" applyFill="1" applyBorder="1"/>
    <x:xf numFmtId="0" fontId="4" fillId="5" borderId="7" xfId="0" applyNumberFormat="1" applyFont="1" applyFill="1" applyBorder="1"/>
    <x:xf numFmtId="0" fontId="4" fillId="5" borderId="8" xfId="0" applyNumberFormat="1" applyFont="1" applyFill="1" applyBorder="1"/>
    <x:xf numFmtId="0" fontId="4" fillId="0" borderId="8" xfId="0" applyNumberFormat="1" applyFont="1" applyFill="1" applyBorder="1"/>
    <x:xf numFmtId="0" fontId="4" fillId="0" borderId="9" xfId="0" applyNumberFormat="1" applyFont="1" applyFill="1" applyBorder="1"/>
    <x:xf numFmtId="0" fontId="4" fillId="5" borderId="10" xfId="0" applyNumberFormat="1" applyFont="1" applyFill="1" applyBorder="1"/>
    <x:xf numFmtId="0" fontId="4" fillId="5" borderId="11" xfId="0" applyNumberFormat="1" applyFont="1" applyFill="1" applyBorder="1"/>
    <x:xf numFmtId="0" fontId="4" fillId="0" borderId="11" xfId="0" applyNumberFormat="1" applyFont="1" applyFill="1" applyBorder="1"/>
    <x:xf numFmtId="0" fontId="4" fillId="0" borderId="12" xfId="0" applyNumberFormat="1" applyFont="1" applyFill="1" applyBorder="1"/>
    <x:xf numFmtId="200" fontId="4" fillId="5" borderId="5" xfId="0" applyNumberFormat="1" applyFont="1" applyFill="1" applyBorder="1"/>
    <x:xf numFmtId="200" fontId="4" fillId="5" borderId="8" xfId="0" applyNumberFormat="1" applyFont="1" applyFill="1" applyBorder="1"/>
    <x:xf numFmtId="200" fontId="4" fillId="5" borderId="11" xfId="0" applyNumberFormat="1" applyFont="1" applyFill="1" applyBorder="1"/>
    <x:xf numFmtId="0" fontId="4" fillId="0" borderId="5" xfId="0" applyNumberFormat="1" applyFont="1" applyFill="1" applyBorder="1" applyAlignment="1">
      <x:alignment wrapText="1"/>
    </x:xf>
    <x:xf numFmtId="0" fontId="4" fillId="0" borderId="6" xfId="0" applyNumberFormat="1" applyFont="1" applyFill="1" applyBorder="1" applyAlignment="1">
      <x:alignment wrapText="1"/>
    </x:xf>
    <x:xf numFmtId="0" fontId="4" fillId="0" borderId="8" xfId="0" applyNumberFormat="1" applyFont="1" applyFill="1" applyBorder="1" applyAlignment="1">
      <x:alignment wrapText="1"/>
    </x:xf>
    <x:xf numFmtId="0" fontId="4" fillId="0" borderId="9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wrapText="1"/>
    </x:xf>
    <x:xf numFmtId="0" fontId="4" fillId="0" borderId="12" xfId="0" applyNumberFormat="1" applyFont="1" applyFill="1" applyBorder="1" applyAlignment="1">
      <x:alignment wrapText="1"/>
    </x:xf>
    <x:xf numFmtId="201" fontId="4" fillId="5" borderId="8" xfId="0" applyNumberFormat="1" applyFont="1" applyFill="1" applyBorder="1"/>
    <x:xf numFmtId="201" fontId="4" fillId="5" borderId="11" xfId="0" applyNumberFormat="1" applyFont="1" applyFill="1" applyBorder="1"/>
    <x:xf numFmtId="0" fontId="3" fillId="4" borderId="13" xfId="0" applyNumberFormat="1" applyFont="1" applyFill="1" applyBorder="1"/>
    <x:xf numFmtId="0" fontId="3" fillId="4" borderId="13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horizontal="center" wrapText="1"/>
    </x:xf>
    <x:xf numFmtId="0" fontId="3" fillId="4" borderId="13" xfId="0" applyNumberFormat="1" applyFont="1" applyFill="1" applyBorder="1" applyAlignment="1">
      <x:alignment horizontal="center" vertical="center" wrapText="1"/>
    </x:xf>
    <x:xf numFmtId="0" fontId="4" fillId="5" borderId="14" xfId="0" applyNumberFormat="1" applyFont="1" applyFill="1" applyBorder="1"/>
    <x:xf numFmtId="0" fontId="4" fillId="5" borderId="15" xfId="0" applyNumberFormat="1" applyFont="1" applyFill="1" applyBorder="1"/>
    <x:xf numFmtId="0" fontId="4" fillId="5" borderId="16" xfId="0" applyNumberFormat="1" applyFont="1" applyFill="1" applyBorder="1"/>
    <x:xf numFmtId="0" fontId="4" fillId="5" borderId="6" xfId="0" applyNumberFormat="1" applyFont="1" applyFill="1" applyBorder="1"/>
    <x:xf numFmtId="0" fontId="4" fillId="5" borderId="9" xfId="0" applyNumberFormat="1" applyFont="1" applyFill="1" applyBorder="1"/>
    <x:xf numFmtId="0" fontId="4" fillId="5" borderId="12" xfId="0" applyNumberFormat="1" applyFont="1" applyFill="1" applyBorder="1"/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0" xfId="0" applyNumberFormat="1" applyFont="1" applyFill="1" applyBorder="1" applyAlignment="1">
      <x:alignment wrapText="1"/>
    </x:xf>
    <x:xf numFmtId="0" fontId="5" fillId="6" borderId="0" xfId="0" applyNumberFormat="1" applyFont="1" applyFill="1" applyBorder="1" applyAlignment="1">
      <x:alignment vertical="center" wrapText="1"/>
    </x:xf>
    <x:xf numFmtId="0" fontId="0" fillId="7" borderId="0" xfId="0" applyNumberFormat="1" applyFont="1" applyFill="1" applyBorder="1"/>
    <x:xf numFmtId="202" fontId="0" fillId="0" borderId="0" xfId="0" applyNumberFormat="1" applyFont="1" applyFill="1" applyBorder="1"/>
    <x:xf numFmtId="203" fontId="0" fillId="7" borderId="0" xfId="0" applyNumberFormat="1" applyFont="1" applyFill="1" applyBorder="1"/>
    <x:xf numFmtId="204" fontId="0" fillId="0" borderId="0" xfId="0" applyNumberFormat="1" applyFont="1" applyFill="1" applyBorder="1"/>
    <x:xf numFmtId="203" fontId="0" fillId="0" borderId="0" xfId="0" applyNumberFormat="1" applyFont="1" applyFill="1" applyBorder="1"/>
    <x:xf numFmtId="202" fontId="4" fillId="0" borderId="0" xfId="0" applyNumberFormat="1" applyFont="1" applyFill="1" applyBorder="1"/>
    <x:xf numFmtId="204" fontId="4" fillId="0" borderId="0" xfId="0" applyNumberFormat="1" applyFont="1" applyFill="1" applyBorder="1"/>
    <x:xf numFmtId="203" fontId="4" fillId="0" borderId="0" xfId="0" applyNumberFormat="1" applyFont="1" applyFill="1" applyBorder="1"/>
    <x:xf numFmtId="203" fontId="4" fillId="7" borderId="0" xfId="0" applyNumberFormat="1" applyFont="1" applyFill="1" applyBorder="1"/>
    <x:xf numFmtId="0" fontId="4" fillId="7" borderId="0" xfId="0" applyNumberFormat="1" applyFont="1" applyFill="1" applyBorder="1"/>
    <x:xf numFmtId="0" fontId="4" fillId="0" borderId="0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 applyAlignment="1">
      <x:alignment wrapText="1"/>
    </x:xf>
    <x:xf numFmtId="205" fontId="0" fillId="0" borderId="0" xfId="0" applyNumberFormat="1" applyFont="1" applyFill="1" applyBorder="1"/>
    <x:xf numFmtId="205" fontId="0" fillId="7" borderId="0" xfId="0" applyNumberFormat="1" applyFont="1" applyFill="1" applyBorder="1"/>
    <x:xf numFmtId="206" fontId="0" fillId="7" borderId="0" xfId="0" applyNumberFormat="1" applyFont="1" applyFill="1" applyBorder="1"/>
    <x:xf numFmtId="205" fontId="4" fillId="0" borderId="0" xfId="0" applyNumberFormat="1" applyFont="1" applyFill="1" applyBorder="1"/>
    <x:xf numFmtId="205" fontId="4" fillId="7" borderId="0" xfId="0" applyNumberFormat="1" applyFont="1" applyFill="1" applyBorder="1"/>
    <x:xf numFmtId="206" fontId="4" fillId="7" borderId="0" xfId="0" applyNumberFormat="1" applyFont="1" applyFill="1" applyBorder="1"/>
    <x:xf numFmtId="201" fontId="0" fillId="7" borderId="0" xfId="0" applyNumberFormat="1" applyFont="1" applyFill="1" applyBorder="1"/>
    <x:xf numFmtId="204" fontId="0" fillId="7" borderId="0" xfId="0" applyNumberFormat="1" applyFont="1" applyFill="1" applyBorder="1"/>
    <x:xf numFmtId="201" fontId="4" fillId="7" borderId="0" xfId="0" applyNumberFormat="1" applyFont="1" applyFill="1" applyBorder="1"/>
    <x:xf numFmtId="204" fontId="4" fillId="7" borderId="0" xfId="0" applyNumberFormat="1" applyFont="1" applyFill="1" applyBorder="1"/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12" xfId="0" applyNumberFormat="1" applyFont="1" applyFill="1" applyBorder="1"/>
    <x:xf numFmtId="0" fontId="6" fillId="8" borderId="16" xfId="0" applyNumberFormat="1" applyFont="1" applyFill="1" applyBorder="1"/>
    <x:xf numFmtId="0" fontId="6" fillId="8" borderId="10" xfId="0" applyNumberFormat="1" applyFont="1" applyFill="1" applyBorder="1"/>
    <x:xf numFmtId="0" fontId="6" fillId="8" borderId="17" xfId="0" applyNumberFormat="1" applyFont="1" applyFill="1" applyBorder="1"/>
    <x:xf numFmtId="0" fontId="6" fillId="8" borderId="18" xfId="0" applyNumberFormat="1" applyFont="1" applyFill="1" applyBorder="1"/>
    <x:xf numFmtId="0" fontId="6" fillId="8" borderId="6" xfId="0" applyNumberFormat="1" applyFont="1" applyFill="1" applyBorder="1"/>
    <x:xf numFmtId="0" fontId="6" fillId="8" borderId="14" xfId="0" applyNumberFormat="1" applyFont="1" applyFill="1" applyBorder="1"/>
    <x:xf numFmtId="0" fontId="6" fillId="8" borderId="4" xfId="0" applyNumberFormat="1" applyFont="1" applyFill="1" applyBorder="1"/>
    <x:xf numFmtId="0" fontId="6" fillId="8" borderId="12" xfId="0" applyNumberFormat="1" applyFont="1" applyFill="1" applyBorder="1" applyAlignment="1">
      <x:alignment vertical="center"/>
    </x:xf>
    <x:xf numFmtId="0" fontId="6" fillId="8" borderId="16" xfId="0" applyNumberFormat="1" applyFont="1" applyFill="1" applyBorder="1" applyAlignment="1">
      <x:alignment vertical="center"/>
    </x:xf>
    <x:xf numFmtId="0" fontId="6" fillId="8" borderId="10" xfId="0" applyNumberFormat="1" applyFont="1" applyFill="1" applyBorder="1" applyAlignment="1">
      <x:alignment vertical="center"/>
    </x:xf>
    <x:xf numFmtId="0" fontId="6" fillId="8" borderId="17" xfId="0" applyNumberFormat="1" applyFont="1" applyFill="1" applyBorder="1" applyAlignment="1">
      <x:alignment vertical="center"/>
    </x:xf>
    <x:xf numFmtId="0" fontId="6" fillId="8" borderId="0" xfId="0" applyNumberFormat="1" applyFont="1" applyFill="1" applyBorder="1" applyAlignment="1">
      <x:alignment vertical="center"/>
    </x:xf>
    <x:xf numFmtId="0" fontId="6" fillId="8" borderId="18" xfId="0" applyNumberFormat="1" applyFont="1" applyFill="1" applyBorder="1" applyAlignment="1">
      <x:alignment vertical="center"/>
    </x:xf>
    <x:xf numFmtId="0" fontId="6" fillId="8" borderId="6" xfId="0" applyNumberFormat="1" applyFont="1" applyFill="1" applyBorder="1" applyAlignment="1">
      <x:alignment vertical="center"/>
    </x:xf>
    <x:xf numFmtId="0" fontId="6" fillId="8" borderId="14" xfId="0" applyNumberFormat="1" applyFont="1" applyFill="1" applyBorder="1" applyAlignment="1">
      <x:alignment vertical="center"/>
    </x:xf>
    <x:xf numFmtId="0" fontId="6" fillId="8" borderId="4" xfId="0" applyNumberFormat="1" applyFont="1" applyFill="1" applyBorder="1" applyAlignment="1">
      <x:alignment vertical="center"/>
    </x:xf>
    <x:xf numFmtId="0" fontId="6" fillId="4" borderId="12" xfId="0" applyNumberFormat="1" applyFont="1" applyFill="1" applyBorder="1" applyAlignment="1">
      <x:alignment vertical="center"/>
    </x:xf>
    <x:xf numFmtId="0" fontId="6" fillId="4" borderId="16" xfId="0" applyNumberFormat="1" applyFont="1" applyFill="1" applyBorder="1" applyAlignment="1">
      <x:alignment vertical="center"/>
    </x:xf>
    <x:xf numFmtId="0" fontId="6" fillId="4" borderId="10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/>
    </x:xf>
    <x:xf numFmtId="0" fontId="3" fillId="4" borderId="16" xfId="0" applyNumberFormat="1" applyFont="1" applyFill="1" applyBorder="1" applyAlignment="1">
      <x:alignment vertical="center"/>
    </x:xf>
    <x:xf numFmtId="0" fontId="3" fillId="4" borderId="10" xfId="0" applyNumberFormat="1" applyFont="1" applyFill="1" applyBorder="1" applyAlignment="1">
      <x:alignment vertical="center"/>
    </x:xf>
    <x:xf numFmtId="0" fontId="3" fillId="4" borderId="12" xfId="0" applyNumberFormat="1" applyFont="1" applyFill="1" applyBorder="1" applyAlignment="1">
      <x:alignment vertical="center" wrapText="1"/>
    </x:xf>
    <x:xf numFmtId="0" fontId="3" fillId="4" borderId="16" xfId="0" applyNumberFormat="1" applyFont="1" applyFill="1" applyBorder="1" applyAlignment="1">
      <x:alignment vertical="center" wrapText="1"/>
    </x:xf>
    <x:xf numFmtId="0" fontId="3" fillId="4" borderId="10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3" fillId="4" borderId="16" xfId="0" applyNumberFormat="1" applyFont="1" applyFill="1" applyBorder="1" applyAlignment="1">
      <x:alignment horizontal="center" vertical="center" wrapText="1"/>
    </x:xf>
    <x:xf numFmtId="0" fontId="3" fillId="4" borderId="10" xfId="0" applyNumberFormat="1" applyFont="1" applyFill="1" applyBorder="1" applyAlignment="1">
      <x:alignment horizontal="center" vertical="center" wrapText="1"/>
    </x:xf>
    <x:xf numFmtId="0" fontId="7" fillId="8" borderId="0" xfId="0" applyNumberFormat="1" applyFont="1" applyFill="1" applyBorder="1" applyAlignment="1">
      <x:alignment vertical="center"/>
    </x:xf>
    <x:xf numFmtId="206" fontId="7" fillId="8" borderId="0" xfId="0" applyNumberFormat="1" applyFont="1" applyFill="1" applyBorder="1" applyAlignment="1">
      <x:alignment vertical="center"/>
    </x:xf>
    <x:xf numFmtId="206" fontId="7" fillId="8" borderId="0" xfId="0" applyNumberFormat="1" applyFont="1" applyFill="1" applyBorder="1" applyAlignment="1">
      <x:alignment horizontal="center" vertical="center"/>
    </x:xf>
    <x:xf numFmtId="0" fontId="8" fillId="8" borderId="0" xfId="0" applyNumberFormat="1" applyFont="1" applyFill="1" applyBorder="1" applyAlignment="1">
      <x:alignment vertical="center"/>
    </x:xf>
    <x:xf numFmtId="0" fontId="8" fillId="8" borderId="0" xfId="0" applyNumberFormat="1" applyFont="1" applyFill="1" applyBorder="1" applyAlignment="1">
      <x:alignment horizontal="center" vertical="center"/>
    </x:xf>
    <x:xf numFmtId="0" fontId="6" fillId="5" borderId="14" xfId="0" applyNumberFormat="1" applyFont="1" applyFill="1" applyBorder="1" applyAlignment="1">
      <x:alignment vertical="center"/>
    </x:xf>
    <x:xf numFmtId="0" fontId="9" fillId="5" borderId="14" xfId="0" applyNumberFormat="1" applyFont="1" applyFill="1" applyBorder="1" applyAlignment="1">
      <x:alignment vertical="center"/>
    </x:xf>
    <x:xf numFmtId="0" fontId="9" fillId="5" borderId="14" xfId="0" applyNumberFormat="1" applyFont="1" applyFill="1" applyBorder="1" applyAlignment="1">
      <x:alignment horizontal="center" vertical="center"/>
    </x:xf>
    <x:xf numFmtId="201" fontId="7" fillId="8" borderId="0" xfId="0" applyNumberFormat="1" applyFont="1" applyFill="1" applyBorder="1" applyAlignment="1">
      <x:alignment vertical="center"/>
    </x:xf>
    <x:xf numFmtId="201" fontId="7" fillId="8" borderId="0" xfId="0" applyNumberFormat="1" applyFont="1" applyFill="1" applyBorder="1" applyAlignment="1">
      <x:alignment horizontal="center" vertical="center"/>
    </x:xf>
    <x:xf numFmtId="203" fontId="7" fillId="8" borderId="0" xfId="0" applyNumberFormat="1" applyFont="1" applyFill="1" applyBorder="1" applyAlignment="1">
      <x:alignment vertical="center"/>
    </x:xf>
    <x:xf numFmtId="203" fontId="7" fillId="8" borderId="0" xfId="0" applyNumberFormat="1" applyFont="1" applyFill="1" applyBorder="1" applyAlignment="1">
      <x:alignment horizontal="center" vertical="center"/>
    </x:xf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vertical="center"/>
    </x:xf>
    <x:xf numFmtId="0" fontId="10" fillId="6" borderId="0" xfId="0" applyNumberFormat="1" applyFont="1" applyFill="1" applyBorder="1" applyAlignment="1">
      <x:alignment vertical="center"/>
    </x:xf>
    <x:xf numFmtId="0" fontId="4" fillId="5" borderId="0" xfId="0" applyNumberFormat="1" applyFont="1" applyFill="1" applyBorder="1" applyAlignment="1">
      <x:alignment vertical="center"/>
    </x:xf>
    <x:xf numFmtId="0" fontId="11" fillId="5" borderId="0" xfId="0" applyNumberFormat="1" applyFont="1" applyFill="1" applyBorder="1" applyAlignment="1">
      <x:alignment vertical="center"/>
    </x:xf>
    <x:xf numFmtId="205" fontId="11" fillId="5" borderId="0" xfId="0" applyNumberFormat="1" applyFont="1" applyFill="1" applyBorder="1" applyAlignment="1">
      <x:alignment vertical="center"/>
    </x:xf>
    <x:xf numFmtId="0" fontId="0" fillId="9" borderId="0" xfId="0" applyNumberFormat="1" applyFont="1" applyFill="1" applyBorder="1"/>
    <x:xf numFmtId="0" fontId="12" fillId="9" borderId="0" xfId="0" applyNumberFormat="1" applyFont="1" applyFill="1" applyBorder="1"/>
    <x:xf numFmtId="0" fontId="12" fillId="9" borderId="0" xfId="0" applyNumberFormat="1" applyFont="1" applyFill="1" applyBorder="1" applyAlignment="1">
      <x:alignment horizontal="left"/>
    </x:xf>
    <x:xf numFmtId="0" fontId="12" fillId="9" borderId="0" xfId="0" applyNumberFormat="1" applyFont="1" applyFill="1" applyBorder="1" applyAlignment="1">
      <x:alignment horizontal="left" vertical="center"/>
    </x:xf>
    <x:xf numFmtId="0" fontId="0" fillId="0" borderId="4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2" xfId="0" applyNumberFormat="1" applyFont="1" applyFill="1" applyBorder="1"/>
    <x:xf numFmtId="0" fontId="4" fillId="0" borderId="4" xfId="0" applyNumberFormat="1" applyFont="1" applyFill="1" applyBorder="1"/>
    <x:xf numFmtId="0" fontId="4" fillId="0" borderId="7" xfId="0" applyNumberFormat="1" applyFont="1" applyFill="1" applyBorder="1"/>
    <x:xf numFmtId="0" fontId="4" fillId="0" borderId="10" xfId="0" applyNumberFormat="1" applyFont="1" applyFill="1" applyBorder="1"/>
    <x:xf numFmtId="206" fontId="4" fillId="0" borderId="6" xfId="0" applyNumberFormat="1" applyFont="1" applyFill="1" applyBorder="1"/>
    <x:xf numFmtId="206" fontId="4" fillId="0" borderId="9" xfId="0" applyNumberFormat="1" applyFont="1" applyFill="1" applyBorder="1"/>
    <x:xf numFmtId="206" fontId="4" fillId="0" borderId="12" xfId="0" applyNumberFormat="1" applyFont="1" applyFill="1" applyBorder="1"/>
    <x:xf numFmtId="0" fontId="0" fillId="0" borderId="5" xfId="0" applyNumberFormat="1" applyFont="1" applyFill="1" applyBorder="1"/>
    <x:xf numFmtId="0" fontId="0" fillId="0" borderId="8" xfId="0" applyNumberFormat="1" applyFont="1" applyFill="1" applyBorder="1"/>
    <x:xf numFmtId="0" fontId="0" fillId="0" borderId="11" xfId="0" applyNumberFormat="1" applyFont="1" applyFill="1" applyBorder="1"/>
    <x:xf numFmtId="205" fontId="4" fillId="0" borderId="4" xfId="0" applyNumberFormat="1" applyFont="1" applyFill="1" applyBorder="1"/>
    <x:xf numFmtId="205" fontId="4" fillId="0" borderId="7" xfId="0" applyNumberFormat="1" applyFont="1" applyFill="1" applyBorder="1"/>
    <x:xf numFmtId="205" fontId="4" fillId="0" borderId="10" xfId="0" applyNumberFormat="1" applyFont="1" applyFill="1" applyBorder="1"/>
    <x:xf numFmtId="206" fontId="4" fillId="0" borderId="5" xfId="0" applyNumberFormat="1" applyFont="1" applyFill="1" applyBorder="1"/>
    <x:xf numFmtId="206" fontId="4" fillId="0" borderId="8" xfId="0" applyNumberFormat="1" applyFont="1" applyFill="1" applyBorder="1"/>
    <x:xf numFmtId="206" fontId="4" fillId="0" borderId="11" xfId="0" applyNumberFormat="1" applyFont="1" applyFill="1" applyBorder="1"/>
    <x:xf numFmtId="203" fontId="4" fillId="0" borderId="6" xfId="0" applyNumberFormat="1" applyFont="1" applyFill="1" applyBorder="1"/>
    <x:xf numFmtId="203" fontId="4" fillId="0" borderId="9" xfId="0" applyNumberFormat="1" applyFont="1" applyFill="1" applyBorder="1"/>
    <x:xf numFmtId="203" fontId="4" fillId="0" borderId="12" xfId="0" applyNumberFormat="1" applyFont="1" applyFill="1" applyBorder="1"/>
    <x:xf numFmtId="0" fontId="4" fillId="3" borderId="10" xfId="0" applyNumberFormat="1" applyFont="1" applyFill="1" applyBorder="1"/>
    <x:xf numFmtId="206" fontId="4" fillId="3" borderId="11" xfId="0" applyNumberFormat="1" applyFont="1" applyFill="1" applyBorder="1"/>
    <x:xf numFmtId="203" fontId="4" fillId="3" borderId="12" xfId="0" applyNumberFormat="1" applyFont="1" applyFill="1" applyBorder="1"/>
    <x:xf numFmtId="0" fontId="13" fillId="3" borderId="10" xfId="0" applyNumberFormat="1" applyFont="1" applyFill="1" applyBorder="1"/>
    <x:xf numFmtId="206" fontId="13" fillId="3" borderId="11" xfId="0" applyNumberFormat="1" applyFont="1" applyFill="1" applyBorder="1"/>
    <x:xf numFmtId="203" fontId="13" fillId="3" borderId="12" xfId="0" applyNumberFormat="1" applyFont="1" applyFill="1" applyBorder="1"/>
    <x:xf numFmtId="0" fontId="13" fillId="3" borderId="8" xfId="0" applyNumberFormat="1" applyFont="1" applyFill="1" applyBorder="1"/>
    <x:xf numFmtId="206" fontId="13" fillId="3" borderId="8" xfId="0" applyNumberFormat="1" applyFont="1" applyFill="1" applyBorder="1"/>
    <x:xf numFmtId="203" fontId="13" fillId="3" borderId="8" xfId="0" applyNumberFormat="1" applyFont="1" applyFill="1" applyBorder="1"/>
    <x:xf numFmtId="0" fontId="4" fillId="5" borderId="19" xfId="0" applyNumberFormat="1" applyFont="1" applyFill="1" applyBorder="1"/>
    <x:xf numFmtId="0" fontId="4" fillId="5" borderId="20" xfId="0" applyNumberFormat="1" applyFont="1" applyFill="1" applyBorder="1"/>
    <x:xf numFmtId="0" fontId="4" fillId="5" borderId="21" xfId="0" applyNumberFormat="1" applyFont="1" applyFill="1" applyBorder="1"/>
    <x:xf numFmtId="0" fontId="4" fillId="5" borderId="22" xfId="0" applyNumberFormat="1" applyFont="1" applyFill="1" applyBorder="1"/>
    <x:xf numFmtId="0" fontId="4" fillId="5" borderId="23" xfId="0" applyNumberFormat="1" applyFont="1" applyFill="1" applyBorder="1"/>
    <x:xf numFmtId="0" fontId="4" fillId="5" borderId="24" xfId="0" applyNumberFormat="1" applyFont="1" applyFill="1" applyBorder="1"/>
    <x:xf numFmtId="0" fontId="4" fillId="5" borderId="25" xfId="0" applyNumberFormat="1" applyFont="1" applyFill="1" applyBorder="1"/>
    <x:xf numFmtId="0" fontId="4" fillId="5" borderId="26" xfId="0" applyNumberFormat="1" applyFont="1" applyFill="1" applyBorder="1"/>
    <x:xf numFmtId="0" fontId="4" fillId="5" borderId="19" xfId="0" applyNumberFormat="1" applyFont="1" applyFill="1" applyBorder="1" applyAlignment="1">
      <x:alignment wrapText="1"/>
    </x:xf>
    <x:xf numFmtId="0" fontId="4" fillId="5" borderId="20" xfId="0" applyNumberFormat="1" applyFont="1" applyFill="1" applyBorder="1" applyAlignment="1">
      <x:alignment wrapText="1"/>
    </x:xf>
    <x:xf numFmtId="0" fontId="4" fillId="5" borderId="21" xfId="0" applyNumberFormat="1" applyFont="1" applyFill="1" applyBorder="1" applyAlignment="1">
      <x:alignment wrapText="1"/>
    </x:xf>
    <x:xf numFmtId="0" fontId="4" fillId="5" borderId="22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0" fontId="4" fillId="5" borderId="23" xfId="0" applyNumberFormat="1" applyFont="1" applyFill="1" applyBorder="1" applyAlignment="1">
      <x:alignment wrapText="1"/>
    </x:xf>
    <x:xf numFmtId="0" fontId="4" fillId="5" borderId="24" xfId="0" applyNumberFormat="1" applyFont="1" applyFill="1" applyBorder="1" applyAlignment="1">
      <x:alignment wrapText="1"/>
    </x:xf>
    <x:xf numFmtId="0" fontId="4" fillId="5" borderId="25" xfId="0" applyNumberFormat="1" applyFont="1" applyFill="1" applyBorder="1" applyAlignment="1">
      <x:alignment wrapText="1"/>
    </x:xf>
    <x:xf numFmtId="0" fontId="4" fillId="5" borderId="26" xfId="0" applyNumberFormat="1" applyFont="1" applyFill="1" applyBorder="1" applyAlignment="1">
      <x:alignment wrapText="1"/>
    </x:xf>
    <x:xf numFmtId="0" fontId="4" fillId="5" borderId="19" xfId="0" applyNumberFormat="1" applyFont="1" applyFill="1" applyBorder="1" applyAlignment="1">
      <x:alignment vertical="top" wrapText="1"/>
    </x:xf>
    <x:xf numFmtId="0" fontId="4" fillId="5" borderId="20" xfId="0" applyNumberFormat="1" applyFont="1" applyFill="1" applyBorder="1" applyAlignment="1">
      <x:alignment vertical="top" wrapText="1"/>
    </x:xf>
    <x:xf numFmtId="0" fontId="4" fillId="5" borderId="21" xfId="0" applyNumberFormat="1" applyFont="1" applyFill="1" applyBorder="1" applyAlignment="1">
      <x:alignment vertical="top" wrapText="1"/>
    </x:xf>
    <x:xf numFmtId="0" fontId="4" fillId="5" borderId="22" xfId="0" applyNumberFormat="1" applyFont="1" applyFill="1" applyBorder="1" applyAlignment="1">
      <x:alignment vertical="top" wrapText="1"/>
    </x:xf>
    <x:xf numFmtId="0" fontId="4" fillId="5" borderId="0" xfId="0" applyNumberFormat="1" applyFont="1" applyFill="1" applyBorder="1" applyAlignment="1">
      <x:alignment vertical="top" wrapText="1"/>
    </x:xf>
    <x:xf numFmtId="0" fontId="4" fillId="5" borderId="23" xfId="0" applyNumberFormat="1" applyFont="1" applyFill="1" applyBorder="1" applyAlignment="1">
      <x:alignment vertical="top" wrapText="1"/>
    </x:xf>
    <x:xf numFmtId="0" fontId="4" fillId="5" borderId="24" xfId="0" applyNumberFormat="1" applyFont="1" applyFill="1" applyBorder="1" applyAlignment="1">
      <x:alignment vertical="top" wrapText="1"/>
    </x:xf>
    <x:xf numFmtId="0" fontId="4" fillId="5" borderId="25" xfId="0" applyNumberFormat="1" applyFont="1" applyFill="1" applyBorder="1" applyAlignment="1">
      <x:alignment vertical="top" wrapText="1"/>
    </x:xf>
    <x:xf numFmtId="0" fontId="4" fillId="5" borderId="26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FFFFFF"/>
      </x:font>
      <x:fill>
        <x:patternFill patternType="solid">
          <x:bgColor rgb="FFB3261E"/>
        </x:patternFill>
      </x:fill>
    </x:dxf>
    <x:dxf>
      <x:font>
        <x:b/>
        <x:color rgb="FF8A3B12"/>
      </x:font>
      <x:fill>
        <x:patternFill patternType="solid">
          <x:bgColor rgb="FFF7C9A9"/>
        </x:patternFill>
      </x:fill>
    </x:dxf>
    <x:dxf>
      <x:font>
        <x:b/>
        <x:color rgb="FFA86400"/>
      </x:font>
      <x:fill>
        <x:patternFill patternType="solid">
          <x:bgColor rgb="FFFFF3CD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1F5F99"/>
      </x:font>
      <x:fill>
        <x:patternFill patternType="solid">
          <x:bgColor rgb="FFE7F0FA"/>
        </x:patternFill>
      </x:fill>
    </x:dxf>
    <x:dxf>
      <x:font>
        <x:b/>
        <x:color rgb="FFA86400"/>
      </x:font>
      <x:fill>
        <x:patternFill patternType="solid">
          <x:bgColor rgb="FFFFF3CD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07566A"/>
      </x:font>
      <x:fill>
        <x:patternFill patternType="solid">
          <x:bgColor rgb="FFEAF1F5"/>
        </x:patternFill>
      </x:fill>
    </x:dxf>
    <x:dxf>
      <x:font>
        <x:i/>
        <x:color rgb="FF6B7280"/>
      </x:font>
      <x:fill>
        <x:patternFill patternType="solid">
          <x:bgColor rgb="FFECEFF1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A86400"/>
      </x:font>
      <x:fill>
        <x:patternFill patternType="solid">
          <x:bgColor rgb="FFFFF3CD"/>
        </x:patternFill>
      </x:fill>
    </x:dxf>
    <x:dxf>
      <x:font>
        <x:color rgb="FF6B7280"/>
      </x:font>
      <x:fill>
        <x:patternFill patternType="solid">
          <x:bgColor rgb="FFECEFF1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A86400"/>
      </x:font>
      <x:fill>
        <x:patternFill patternType="solid">
          <x:bgColor rgb="FFFFF3CD"/>
        </x:patternFill>
      </x:fill>
    </x:dxf>
    <x:dxf>
      <x:font>
        <x:color rgb="FF6B7280"/>
      </x:font>
      <x:fill>
        <x:patternFill patternType="solid">
          <x:bgColor rgb="FFECEFF1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color rgb="FFA86400"/>
      </x:font>
      <x:fill>
        <x:patternFill patternType="solid">
          <x:bgColor rgb="FFFFF3CD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A86400"/>
      </x:font>
      <x:fill>
        <x:patternFill patternType="solid">
          <x:bgColor rgb="FFFFF3CD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1F5F99"/>
      </x:font>
      <x:fill>
        <x:patternFill patternType="solid">
          <x:bgColor rgb="FFE7F0FA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  <x:dxf>
      <x:font>
        <x:b/>
        <x:color rgb="FFA86400"/>
      </x:font>
      <x:fill>
        <x:patternFill patternType="solid">
          <x:bgColor rgb="FFFFF3CD"/>
        </x:patternFill>
      </x:fill>
    </x:dxf>
    <x:dxf>
      <x:font>
        <x:b/>
        <x:color rgb="FF2E7D32"/>
      </x:font>
      <x:fill>
        <x:patternFill patternType="solid">
          <x:bgColor rgb="FFE8F5E9"/>
        </x:patternFill>
      </x:fill>
    </x:dxf>
    <x:dxf>
      <x:font>
        <x:b/>
        <x:color rgb="FF1F5F99"/>
      </x:font>
      <x:fill>
        <x:patternFill patternType="solid">
          <x:bgColor rgb="FFE7F0FA"/>
        </x:patternFill>
      </x:fill>
    </x:dxf>
    <x:dxf>
      <x:font>
        <x:b/>
        <x:color rgb="FFB3261E"/>
      </x:font>
      <x:fill>
        <x:patternFill patternType="solid">
          <x:bgColor rgb="FFFDECEB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2ff9dfbb49449ad" /><Relationship Type="http://schemas.openxmlformats.org/officeDocument/2006/relationships/theme" Target="/xl/theme/theme1.xml" Id="Re7ba3b67cb0c47a3" /><Relationship Type="http://schemas.openxmlformats.org/officeDocument/2006/relationships/sharedStrings" Target="/xl/sharedStrings.xml" Id="Rfe6c360bf46c46b6" /><Relationship Type="http://schemas.openxmlformats.org/officeDocument/2006/relationships/worksheet" Target="/xl/worksheets/sheet1.xml" Id="Rbaacef2d82d842da" /><Relationship Type="http://schemas.openxmlformats.org/officeDocument/2006/relationships/worksheet" Target="/xl/worksheets/sheet2.xml" Id="Rccb72cbf58194c92" /><Relationship Type="http://schemas.openxmlformats.org/officeDocument/2006/relationships/worksheet" Target="/xl/worksheets/sheet3.xml" Id="Rc2d65399b01841b1" /><Relationship Type="http://schemas.openxmlformats.org/officeDocument/2006/relationships/worksheet" Target="/xl/worksheets/sheet4.xml" Id="R715e5474c10d4430" /><Relationship Type="http://schemas.openxmlformats.org/officeDocument/2006/relationships/worksheet" Target="/xl/worksheets/sheet5.xml" Id="R897893a7fb9b4ab8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f267a987951a4640" /><Relationship Type="http://schemas.openxmlformats.org/officeDocument/2006/relationships/chart" Target="/xl/drawings/charts/chart2.xml" Id="R5c45cf422f1b4fb5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Current Work Orders by Status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Count</c:v>
          </c:tx>
          <c:cat>
            <c:strRef>
              <c:f>'Dashboard'!$A$36:$A$42</c:f>
              <c:strCache>
                <c:ptCount val="0"/>
              </c:strCache>
            </c:strRef>
          </c:cat>
          <c:val>
            <c:numRef>
              <c:f>'Dashboard'!$B$36:$B$42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Weekly Request Volume and Completions</a:t>
            </a:r>
          </a:p>
        </c:rich>
      </c:tx>
    </c:title>
    <c:plotArea>
      <c:lineChart>
        <c:grouping val="standard"/>
        <c:ser>
          <c:idx val="0"/>
          <c:order val="0"/>
          <c:tx>
            <c:v>Requests Received</c:v>
          </c:tx>
          <c:marker>
            <c:symbol val="none"/>
          </c:marker>
          <c:cat>
            <c:strRef>
              <c:f>'Dashboard'!$J$36:$J$48</c:f>
              <c:strCache>
                <c:ptCount val="0"/>
              </c:strCache>
            </c:strRef>
          </c:cat>
          <c:val>
            <c:numRef>
              <c:f>'Dashboard'!$K$36:$K$48</c:f>
              <c:numCache>
                <c:formatCode>0</c:formatCode>
                <c:ptCount val="0"/>
              </c:numCache>
            </c:numRef>
          </c:val>
        </c:ser>
        <c:ser>
          <c:idx val="1"/>
          <c:order val="1"/>
          <c:tx>
            <c:v>Completed</c:v>
          </c:tx>
          <c:marker>
            <c:symbol val="none"/>
          </c:marker>
          <c:cat>
            <c:strRef>
              <c:f>'Dashboard'!$J$36:$J$48</c:f>
              <c:strCache>
                <c:ptCount val="0"/>
              </c:strCache>
            </c:strRef>
          </c:cat>
          <c:val>
            <c:numRef>
              <c:f>'Dashboard'!$L$36:$L$48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/>
            </a:pPr>
          </a:p>
        </c:txPr>
        <c:crossAx val="48672768"/>
        <c:lblAlgn val="ctr"/>
        <c:lblOffset val="100"/>
        <c:noMultiLvlLbl val="0"/>
      </c:catAx>
      <c:valAx>
        <c:axId val="48672768"/>
        <c:scaling>
          <c:orientation val="minMax"/>
          <c:min val="0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16</xdr:row>
      <xdr:rowOff>0</xdr:rowOff>
    </xdr:from>
    <xdr:to>
      <xdr:col>7</xdr:col>
      <xdr:colOff>0</xdr:colOff>
      <xdr:row>31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267a987951a4640"/>
        </a:graphicData>
      </a:graphic>
    </xdr:graphicFrame>
    <xdr:clientData/>
  </xdr:twoCellAnchor>
  <xdr:twoCellAnchor>
    <xdr:from>
      <xdr:col>8</xdr:col>
      <xdr:colOff>0</xdr:colOff>
      <xdr:row>16</xdr:row>
      <xdr:rowOff>0</xdr:rowOff>
    </xdr:from>
    <xdr:to>
      <xdr:col>15</xdr:col>
      <xdr:colOff>0</xdr:colOff>
      <xdr:row>31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45cf422f1b4fb5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WorkOrdersTable" displayName="WorkOrdersTable" ref="A4:Z42" headerRowCount="1" totalsRowCount="0" totalsRowShown="0">
  <x:autoFilter ref="A4:Z42"/>
  <x:tableColumns count="26">
    <x:tableColumn id="1" name="Request ID"/>
    <x:tableColumn id="2" name="Resident"/>
    <x:tableColumn id="3" name="Unit Number"/>
    <x:tableColumn id="4" name="Category"/>
    <x:tableColumn id="5" name="Priority"/>
    <x:tableColumn id="6" name="Assigned Technician"/>
    <x:tableColumn id="7" name="Vendor / Team"/>
    <x:tableColumn id="8" name="Date Submitted"/>
    <x:tableColumn id="9" name="First Response"/>
    <x:tableColumn id="10" name="Due Date"/>
    <x:tableColumn id="11" name="Completion Date"/>
    <x:tableColumn id="12" name="Status"/>
    <x:tableColumn id="13" name="Cost"/>
    <x:tableColumn id="14" name="Resident Rating"/>
    <x:tableColumn id="15" name="Age (Days)"/>
    <x:tableColumn id="16" name="Response Hours"/>
    <x:tableColumn id="17" name="Completion Hours"/>
    <x:tableColumn id="18" name="Response SLA (hrs)"/>
    <x:tableColumn id="19" name="Completion SLA (hrs)"/>
    <x:tableColumn id="20" name="Response SLA Met?"/>
    <x:tableColumn id="21" name="Completion SLA Met?"/>
    <x:tableColumn id="22" name="Past Due?"/>
    <x:tableColumn id="23" name="On-Site Date / Time"/>
    <x:tableColumn id="24" name="On-Site Hours"/>
    <x:tableColumn id="25" name="First-Time Fix?"/>
    <x:tableColumn id="2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eventiveMaintenanceTable" displayName="PreventiveMaintenanceTable" ref="A4:N22" headerRowCount="1" totalsRowCount="0" totalsRowShown="0">
  <x:autoFilter ref="A4:N22"/>
  <x:tableColumns count="14">
    <x:tableColumn id="1" name="PM ID"/>
    <x:tableColumn id="2" name="Area / Unit"/>
    <x:tableColumn id="3" name="Asset / Equipment"/>
    <x:tableColumn id="4" name="Category"/>
    <x:tableColumn id="5" name="Frequency"/>
    <x:tableColumn id="6" name="Last Service"/>
    <x:tableColumn id="7" name="Next Due"/>
    <x:tableColumn id="8" name="Assigned To"/>
    <x:tableColumn id="9" name="Vendor / Team"/>
    <x:tableColumn id="10" name="Status"/>
    <x:tableColumn id="11" name="Completion Date"/>
    <x:tableColumn id="12" name="Days to Due"/>
    <x:tableColumn id="13" name="Risk Flag"/>
    <x:tableColumn id="14" name="Service Notes"/>
  </x:tableColumns>
  <x:tableStyleInfo name="TableStyleMedium4" showFirstColumn="0" showLastColumn="0" showRowStripes="1" showColumnStripes="0"/>
</x:table>
</file>

<file path=xl/tables/table3.xml><?xml version="1.0" encoding="utf-8"?>
<x:table xmlns:x="http://schemas.openxmlformats.org/spreadsheetml/2006/main" id="3" name="VendorPerformanceTable" displayName="VendorPerformanceTable" ref="A9:R18" headerRowCount="1" totalsRowCount="0" totalsRowShown="0">
  <x:autoFilter ref="A9:R18"/>
  <x:tableColumns count="18">
    <x:tableColumn id="1" name="Vendor ID"/>
    <x:tableColumn id="2" name="Vendor Name"/>
    <x:tableColumn id="3" name="Specialty"/>
    <x:tableColumn id="4" name="Primary Contact"/>
    <x:tableColumn id="5" name="Phone"/>
    <x:tableColumn id="6" name="Email"/>
    <x:tableColumn id="7" name="Insurance Exp."/>
    <x:tableColumn id="8" name="COI Status"/>
    <x:tableColumn id="9" name="W-9 Status"/>
    <x:tableColumn id="10" name="Avg Response (hrs)"/>
    <x:tableColumn id="11" name="Jobs Assigned"/>
    <x:tableColumn id="12" name="Jobs Completed"/>
    <x:tableColumn id="13" name="On-Time Jobs"/>
    <x:tableColumn id="14" name="On-Time %"/>
    <x:tableColumn id="15" name="Avg Cost"/>
    <x:tableColumn id="16" name="Avg Rating"/>
    <x:tableColumn id="17" name="Contract Status"/>
    <x:tableColumn id="18" name="Performance 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6b6f2664e47944f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4e25b055b74954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d385eb2a0cac421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62fe964a5064b7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3" hidden="0" customWidth="1"/>
    <x:col min="3" max="3" width="13" hidden="0" customWidth="1"/>
    <x:col min="4" max="4" width="14" hidden="0" customWidth="1"/>
    <x:col min="5" max="5" width="13" hidden="0" customWidth="1"/>
    <x:col min="6" max="6" width="13" hidden="0" customWidth="1"/>
    <x:col min="7" max="7" width="14" hidden="0" customWidth="1"/>
    <x:col min="8" max="8" width="13" hidden="0" customWidth="1"/>
    <x:col min="9" max="9" width="13" hidden="0" customWidth="1"/>
    <x:col min="10" max="10" width="14" hidden="0" customWidth="1"/>
    <x:col min="11" max="11" width="13" hidden="0" customWidth="1"/>
    <x:col min="12" max="12" width="13" hidden="0" customWidth="1"/>
    <x:col min="13" max="13" width="15" hidden="0" customWidth="1"/>
    <x:col min="14" max="14" width="13" hidden="0" customWidth="1"/>
    <x:col min="15" max="15" width="13" hidden="0" customWidth="1"/>
  </x:cols>
  <x:sheetData>
    <x:row r="1" ht="34" customHeight="1">
      <x:c r="A1" s="4" t="str">
        <x:v>PACIFIC CREST APARTMENTS | MAINTENANCE OPERATIONS DASHBOARD</x:v>
      </x:c>
      <x:c r="B1" s="4" t="str">
        <x:v>PACIFIC CREST APARTMENTS | MAINTENANCE OPERATIONS DASHBOARD</x:v>
      </x:c>
      <x:c r="C1" s="4" t="str">
        <x:v>PACIFIC CREST APARTMENTS | MAINTENANCE OPERATIONS DASHBOARD</x:v>
      </x:c>
      <x:c r="D1" s="4" t="str">
        <x:v>PACIFIC CREST APARTMENTS | MAINTENANCE OPERATIONS DASHBOARD</x:v>
      </x:c>
      <x:c r="E1" s="4" t="str">
        <x:v>PACIFIC CREST APARTMENTS | MAINTENANCE OPERATIONS DASHBOARD</x:v>
      </x:c>
      <x:c r="F1" s="4" t="str">
        <x:v>PACIFIC CREST APARTMENTS | MAINTENANCE OPERATIONS DASHBOARD</x:v>
      </x:c>
      <x:c r="G1" s="4" t="str">
        <x:v>PACIFIC CREST APARTMENTS | MAINTENANCE OPERATIONS DASHBOARD</x:v>
      </x:c>
      <x:c r="H1" s="4" t="str">
        <x:v>PACIFIC CREST APARTMENTS | MAINTENANCE OPERATIONS DASHBOARD</x:v>
      </x:c>
      <x:c r="I1" s="4" t="str">
        <x:v>PACIFIC CREST APARTMENTS | MAINTENANCE OPERATIONS DASHBOARD</x:v>
      </x:c>
      <x:c r="J1" s="4" t="str">
        <x:v>PACIFIC CREST APARTMENTS | MAINTENANCE OPERATIONS DASHBOARD</x:v>
      </x:c>
      <x:c r="K1" s="4" t="str">
        <x:v>PACIFIC CREST APARTMENTS | MAINTENANCE OPERATIONS DASHBOARD</x:v>
      </x:c>
      <x:c r="L1" s="4" t="str">
        <x:v>PACIFIC CREST APARTMENTS | MAINTENANCE OPERATIONS DASHBOARD</x:v>
      </x:c>
      <x:c r="M1" s="4" t="str">
        <x:v>PACIFIC CREST APARTMENTS | MAINTENANCE OPERATIONS DASHBOARD</x:v>
      </x:c>
      <x:c r="N1" s="4" t="str">
        <x:v>PACIFIC CREST APARTMENTS | MAINTENANCE OPERATIONS DASHBOARD</x:v>
      </x:c>
      <x:c r="O1" s="4" t="str">
        <x:v>PACIFIC CREST APARTMENTS | MAINTENANCE OPERATIONS DASHBOARD</x:v>
      </x:c>
    </x:row>
    <x:row r="2" ht="30" customHeight="1">
      <x:c r="A2" s="9" t="str">
        <x:v>38-record simulated pilot sample for a fictional 200-unit community. Illustrative baseline and 90-day targets are shown for portfolio planning.</x:v>
      </x:c>
      <x:c r="B2" s="9" t="str">
        <x:v>38-record simulated pilot sample for a fictional 200-unit community. Illustrative baseline and 90-day targets are shown for portfolio planning.</x:v>
      </x:c>
      <x:c r="C2" s="9" t="str">
        <x:v>38-record simulated pilot sample for a fictional 200-unit community. Illustrative baseline and 90-day targets are shown for portfolio planning.</x:v>
      </x:c>
      <x:c r="D2" s="9" t="str">
        <x:v>38-record simulated pilot sample for a fictional 200-unit community. Illustrative baseline and 90-day targets are shown for portfolio planning.</x:v>
      </x:c>
      <x:c r="E2" s="9" t="str">
        <x:v>38-record simulated pilot sample for a fictional 200-unit community. Illustrative baseline and 90-day targets are shown for portfolio planning.</x:v>
      </x:c>
      <x:c r="F2" s="9" t="str">
        <x:v>38-record simulated pilot sample for a fictional 200-unit community. Illustrative baseline and 90-day targets are shown for portfolio planning.</x:v>
      </x:c>
      <x:c r="G2" s="9" t="str">
        <x:v>38-record simulated pilot sample for a fictional 200-unit community. Illustrative baseline and 90-day targets are shown for portfolio planning.</x:v>
      </x:c>
      <x:c r="H2" s="9" t="str">
        <x:v>38-record simulated pilot sample for a fictional 200-unit community. Illustrative baseline and 90-day targets are shown for portfolio planning.</x:v>
      </x:c>
      <x:c r="I2" s="9" t="str">
        <x:v>38-record simulated pilot sample for a fictional 200-unit community. Illustrative baseline and 90-day targets are shown for portfolio planning.</x:v>
      </x:c>
      <x:c r="J2" s="9" t="str">
        <x:v>38-record simulated pilot sample for a fictional 200-unit community. Illustrative baseline and 90-day targets are shown for portfolio planning.</x:v>
      </x:c>
      <x:c r="K2" s="9" t="str">
        <x:v>38-record simulated pilot sample for a fictional 200-unit community. Illustrative baseline and 90-day targets are shown for portfolio planning.</x:v>
      </x:c>
      <x:c r="L2" s="9" t="str">
        <x:v>38-record simulated pilot sample for a fictional 200-unit community. Illustrative baseline and 90-day targets are shown for portfolio planning.</x:v>
      </x:c>
      <x:c r="M2" s="9" t="str">
        <x:v>38-record simulated pilot sample for a fictional 200-unit community. Illustrative baseline and 90-day targets are shown for portfolio planning.</x:v>
      </x:c>
      <x:c r="N2" s="9" t="str">
        <x:v>38-record simulated pilot sample for a fictional 200-unit community. Illustrative baseline and 90-day targets are shown for portfolio planning.</x:v>
      </x:c>
      <x:c r="O2" s="9" t="str">
        <x:v>38-record simulated pilot sample for a fictional 200-unit community. Illustrative baseline and 90-day targets are shown for portfolio planning.</x:v>
      </x:c>
    </x:row>
    <x:row r="3" ht="23" customHeight="1">
      <x:c r="A3" s="131" t="str">
        <x:v>As of Date</x:v>
      </x:c>
      <x:c r="B3" s="134" t="n">
        <x:v>46238.708333333336</x:v>
      </x:c>
      <x:c r="C3" s="130" t="str"/>
      <x:c r="D3" s="131" t="str">
        <x:v>Portfolio</x:v>
      </x:c>
      <x:c r="E3" s="130" t="str">
        <x:v>200 units</x:v>
      </x:c>
      <x:c r="F3" s="130" t="str"/>
      <x:c r="G3" s="131" t="str">
        <x:v>Location</x:v>
      </x:c>
      <x:c r="H3" s="130" t="str">
        <x:v>Long Beach, CA</x:v>
      </x:c>
      <x:c r="I3" s="130" t="str"/>
      <x:c r="J3" s="131" t="str">
        <x:v>Baseline Volume</x:v>
      </x:c>
      <x:c r="K3" s="130" t="str">
        <x:f>'Lists &amp; SLA'!$B$14&amp;" work orders/month"</x:f>
        <x:v>95 work orders/month</x:v>
      </x:c>
      <x:c r="L3" s="130" t="str"/>
      <x:c r="M3" s="131" t="str">
        <x:v>System Owner</x:v>
      </x:c>
      <x:c r="N3" s="130" t="str">
        <x:v>Operations Coordinator</x:v>
      </x:c>
      <x:c r="O3" s="130" t="str"/>
    </x:row>
    <x:row r="4" ht="22" customHeight="1">
      <x:c r="A4" s="138" t="str">
        <x:v>SIMULATED PILOT SAMPLE | SERVICE PERFORMANCE</x:v>
      </x:c>
      <x:c r="B4" s="138" t="str">
        <x:v>SIMULATED PILOT SAMPLE | SERVICE PERFORMANCE</x:v>
      </x:c>
      <x:c r="C4" s="138" t="str">
        <x:v>SIMULATED PILOT SAMPLE | SERVICE PERFORMANCE</x:v>
      </x:c>
      <x:c r="D4" s="138" t="str">
        <x:v>SIMULATED PILOT SAMPLE | SERVICE PERFORMANCE</x:v>
      </x:c>
      <x:c r="E4" s="138" t="str">
        <x:v>SIMULATED PILOT SAMPLE | SERVICE PERFORMANCE</x:v>
      </x:c>
      <x:c r="F4" s="138" t="str">
        <x:v>SIMULATED PILOT SAMPLE | SERVICE PERFORMANCE</x:v>
      </x:c>
      <x:c r="G4" s="138" t="str">
        <x:v>SIMULATED PILOT SAMPLE | SERVICE PERFORMANCE</x:v>
      </x:c>
      <x:c r="H4" s="138" t="str">
        <x:v>SIMULATED PILOT SAMPLE | SERVICE PERFORMANCE</x:v>
      </x:c>
      <x:c r="I4" s="138" t="str">
        <x:v>SIMULATED PILOT SAMPLE | SERVICE PERFORMANCE</x:v>
      </x:c>
      <x:c r="J4" s="138" t="str">
        <x:v>SIMULATED PILOT SAMPLE | SERVICE PERFORMANCE</x:v>
      </x:c>
      <x:c r="K4" s="138" t="str">
        <x:v>SIMULATED PILOT SAMPLE | SERVICE PERFORMANCE</x:v>
      </x:c>
      <x:c r="L4" s="138" t="str">
        <x:v>SIMULATED PILOT SAMPLE | SERVICE PERFORMANCE</x:v>
      </x:c>
      <x:c r="M4" s="138" t="str">
        <x:v>SIMULATED PILOT SAMPLE | SERVICE PERFORMANCE</x:v>
      </x:c>
      <x:c r="N4" s="138" t="str">
        <x:v>SIMULATED PILOT SAMPLE | SERVICE PERFORMANCE</x:v>
      </x:c>
      <x:c r="O4" s="138" t="str">
        <x:v>SIMULATED PILOT SAMPLE | SERVICE PERFORMANCE</x:v>
      </x:c>
    </x:row>
    <x:row r="5" ht="22" customHeight="1">
      <x:c r="A5" s="114" t="str">
        <x:v>OPEN WORK ORDERS</x:v>
      </x:c>
      <x:c r="B5" s="115" t="str">
        <x:v>OPEN WORK ORDERS</x:v>
      </x:c>
      <x:c r="C5" s="116" t="str">
        <x:v>OPEN WORK ORDERS</x:v>
      </x:c>
      <x:c r="D5" s="114" t="str">
        <x:v>TRAILING 30-DAY VOLUME</x:v>
      </x:c>
      <x:c r="E5" s="115" t="str">
        <x:v>TRAILING 30-DAY VOLUME</x:v>
      </x:c>
      <x:c r="F5" s="116" t="str">
        <x:v>TRAILING 30-DAY VOLUME</x:v>
      </x:c>
      <x:c r="G5" s="114" t="str">
        <x:v>AVG FIRST RESPONSE</x:v>
      </x:c>
      <x:c r="H5" s="115" t="str">
        <x:v>AVG FIRST RESPONSE</x:v>
      </x:c>
      <x:c r="I5" s="116" t="str">
        <x:v>AVG FIRST RESPONSE</x:v>
      </x:c>
      <x:c r="J5" s="114" t="str">
        <x:v>AVG COMPLETION TIME</x:v>
      </x:c>
      <x:c r="K5" s="115" t="str">
        <x:v>AVG COMPLETION TIME</x:v>
      </x:c>
      <x:c r="L5" s="116" t="str">
        <x:v>AVG COMPLETION TIME</x:v>
      </x:c>
      <x:c r="M5" s="114" t="str">
        <x:v>RESIDENT SATISFACTION</x:v>
      </x:c>
      <x:c r="N5" s="115" t="str">
        <x:v>RESIDENT SATISFACTION</x:v>
      </x:c>
      <x:c r="O5" s="116" t="str">
        <x:v>RESIDENT SATISFACTION</x:v>
      </x:c>
    </x:row>
    <x:row r="6" ht="22" customHeight="1">
      <x:c r="A6" s="99"/>
      <x:c r="B6" s="119" t="n">
        <x:f>COUNTIFS('Work Orders'!$A$5:$A$204,"&lt;&gt;",'Work Orders'!$L$5:$L$204,"&lt;&gt;Completed",'Work Orders'!$L$5:$L$204,"&lt;&gt;Cancelled")</x:f>
        <x:v>8</x:v>
      </x:c>
      <x:c r="C6" s="101"/>
      <x:c r="D6" s="99"/>
      <x:c r="E6" s="119" t="n">
        <x:f>COUNTIFS('Work Orders'!$H$5:$H$204,"&gt;="&amp;$B$3-30,'Work Orders'!$H$5:$H$204,"&lt;="&amp;$B$3)</x:f>
        <x:v>15</x:v>
      </x:c>
      <x:c r="F6" s="101"/>
      <x:c r="G6" s="99"/>
      <x:c r="H6" s="128" t="n">
        <x:f>IFERROR(AVERAGEIF('Work Orders'!$P$5:$P$204,"&gt;0"),0)</x:f>
        <x:v>2.2</x:v>
      </x:c>
      <x:c r="I6" s="101"/>
      <x:c r="J6" s="99"/>
      <x:c r="K6" s="128" t="n">
        <x:f>IFERROR(AVERAGEIF('Work Orders'!$Q$5:$Q$204,"&gt;0")/24,0)</x:f>
        <x:v>1.204741379310345</x:v>
      </x:c>
      <x:c r="L6" s="101"/>
      <x:c r="M6" s="99"/>
      <x:c r="N6" s="128" t="n">
        <x:f>IFERROR(AVERAGEIF('Work Orders'!$N$5:$N$204,"&gt;0"),0)</x:f>
        <x:v>4.482758620689655</x:v>
      </x:c>
      <x:c r="O6" s="101"/>
    </x:row>
    <x:row r="7" ht="22" customHeight="1">
      <x:c r="A7" s="99"/>
      <x:c r="B7" s="121" t="str">
        <x:v>active requests</x:v>
      </x:c>
      <x:c r="C7" s="101"/>
      <x:c r="D7" s="99"/>
      <x:c r="E7" s="121" t="str">
        <x:v>sample work orders</x:v>
      </x:c>
      <x:c r="F7" s="101"/>
      <x:c r="G7" s="99"/>
      <x:c r="H7" s="121" t="str">
        <x:v>hours</x:v>
      </x:c>
      <x:c r="I7" s="101"/>
      <x:c r="J7" s="99"/>
      <x:c r="K7" s="121" t="str">
        <x:v>calendar days</x:v>
      </x:c>
      <x:c r="L7" s="101"/>
      <x:c r="M7" s="99"/>
      <x:c r="N7" s="121" t="str">
        <x:v>out of 5</x:v>
      </x:c>
      <x:c r="O7" s="101"/>
    </x:row>
    <x:row r="8" ht="22" customHeight="1">
      <x:c r="A8" s="102"/>
      <x:c r="B8" s="124" t="str">
        <x:f>"Baseline "&amp;TEXT('Lists &amp; SLA'!$B$17,"0")&amp;" | Target ≤ "&amp;TEXT('Lists &amp; SLA'!$C$17,"0")</x:f>
        <x:v>Baseline 46 | Target ≤ 20</x:v>
      </x:c>
      <x:c r="C8" s="104"/>
      <x:c r="D8" s="102"/>
      <x:c r="E8" s="124" t="str">
        <x:f>"Illustrative baseline "&amp;TEXT('Lists &amp; SLA'!$B$14,"0")&amp;"/month"</x:f>
        <x:v>Illustrative baseline 95/month</x:v>
      </x:c>
      <x:c r="F8" s="104"/>
      <x:c r="G8" s="102"/>
      <x:c r="H8" s="124" t="str">
        <x:f>"Baseline "&amp;TEXT('Lists &amp; SLA'!$B$15,"0.0")&amp;"h | Target ≤ "&amp;TEXT('Lists &amp; SLA'!$C$15,"0.0")&amp;"h"</x:f>
        <x:v>Baseline 11.4h | Target ≤ 2.0h</x:v>
      </x:c>
      <x:c r="I8" s="104"/>
      <x:c r="J8" s="102"/>
      <x:c r="K8" s="124" t="str">
        <x:f>"Baseline "&amp;TEXT('Lists &amp; SLA'!$B$16,"0.0")&amp;"d | Target ≤ "&amp;TEXT('Lists &amp; SLA'!$C$16,"0")&amp;" business days"</x:f>
        <x:v>Baseline 5.2d | Target ≤ 3 business days</x:v>
      </x:c>
      <x:c r="L8" s="104"/>
      <x:c r="M8" s="102"/>
      <x:c r="N8" s="124" t="str">
        <x:f>"Baseline "&amp;TEXT('Lists &amp; SLA'!$B$19,"0.0")&amp;" | Target ≥ "&amp;TEXT('Lists &amp; SLA'!$C$19,"0.0")</x:f>
        <x:v>Baseline 3.2 | Target ≥ 4.3</x:v>
      </x:c>
      <x:c r="O8" s="104"/>
    </x:row>
    <x:row r="9" ht="22" customHeight="1"/>
    <x:row r="10" ht="22" customHeight="1">
      <x:c r="A10" s="114" t="str">
        <x:v>OVERALL SLA COMPLIANCE</x:v>
      </x:c>
      <x:c r="B10" s="115" t="str">
        <x:v>OVERALL SLA COMPLIANCE</x:v>
      </x:c>
      <x:c r="C10" s="116" t="str">
        <x:v>OVERALL SLA COMPLIANCE</x:v>
      </x:c>
      <x:c r="D10" s="114" t="str">
        <x:v>P1 ON-SITE ≤30 MIN</x:v>
      </x:c>
      <x:c r="E10" s="115" t="str">
        <x:v>P1 ON-SITE ≤30 MIN</x:v>
      </x:c>
      <x:c r="F10" s="116" t="str">
        <x:v>P1 ON-SITE ≤30 MIN</x:v>
      </x:c>
      <x:c r="G10" s="114" t="str">
        <x:v>VENDOR ON-TIME</x:v>
      </x:c>
      <x:c r="H10" s="115" t="str">
        <x:v>VENDOR ON-TIME</x:v>
      </x:c>
      <x:c r="I10" s="116" t="str">
        <x:v>VENDOR ON-TIME</x:v>
      </x:c>
      <x:c r="J10" s="114" t="str">
        <x:v>PM COMPLETION</x:v>
      </x:c>
      <x:c r="K10" s="115" t="str">
        <x:v>PM COMPLETION</x:v>
      </x:c>
      <x:c r="L10" s="116" t="str">
        <x:v>PM COMPLETION</x:v>
      </x:c>
      <x:c r="M10" s="114" t="str">
        <x:v>FIRST-TIME FIX RATE</x:v>
      </x:c>
      <x:c r="N10" s="115" t="str">
        <x:v>FIRST-TIME FIX RATE</x:v>
      </x:c>
      <x:c r="O10" s="116" t="str">
        <x:v>FIRST-TIME FIX RATE</x:v>
      </x:c>
    </x:row>
    <x:row r="11" ht="22" customHeight="1">
      <x:c r="A11" s="99"/>
      <x:c r="B11" s="126" t="n">
        <x:f>IFERROR((COUNTIF('Work Orders'!$T$5:$T$204,"Yes")+COUNTIF('Work Orders'!$U$5:$U$204,"Yes"))/(COUNTIF('Work Orders'!$T$5:$T$204,"Yes")+COUNTIF('Work Orders'!$T$5:$T$204,"No")+COUNTIF('Work Orders'!$U$5:$U$204,"Yes")+COUNTIF('Work Orders'!$U$5:$U$204,"No")),0)</x:f>
        <x:v>0.6153846153846154</x:v>
      </x:c>
      <x:c r="C11" s="101"/>
      <x:c r="D11" s="99"/>
      <x:c r="E11" s="126" t="n">
        <x:f>IFERROR(COUNTIFS('Work Orders'!$E$5:$E$204,"P1 Emergency",'Work Orders'!$W$5:$W$204,"&lt;&gt;",'Work Orders'!$X$5:$X$204,"&lt;=0.5")/COUNTIFS('Work Orders'!$E$5:$E$204,"P1 Emergency",'Work Orders'!$L$5:$L$204,"&lt;&gt;Cancelled"),0)</x:f>
        <x:v>0.8333333333333334</x:v>
      </x:c>
      <x:c r="F11" s="101"/>
      <x:c r="G11" s="99"/>
      <x:c r="H11" s="126" t="n">
        <x:f>IFERROR(COUNTIFS('Work Orders'!$G$5:$G$204,"&lt;&gt;",'Work Orders'!$G$5:$G$204,"&lt;&gt;In-House",'Work Orders'!$L$5:$L$204,"Completed",'Work Orders'!$U$5:$U$204,"Yes")/COUNTIFS('Work Orders'!$G$5:$G$204,"&lt;&gt;",'Work Orders'!$G$5:$G$204,"&lt;&gt;In-House",'Work Orders'!$L$5:$L$204,"Completed"),0)</x:f>
        <x:v>0.95</x:v>
      </x:c>
      <x:c r="I11" s="101"/>
      <x:c r="J11" s="99"/>
      <x:c r="K11" s="126" t="n">
        <x:f>IFERROR(COUNTIF('Preventive Maintenance'!$J$5:$J$100,"Completed")/(COUNTIF('Preventive Maintenance'!$J$5:$J$100,"Completed")+COUNTIF('Preventive Maintenance'!$M$5:$M$100,"Overdue")),0)</x:f>
        <x:v>0.7272727272727273</x:v>
      </x:c>
      <x:c r="L11" s="101"/>
      <x:c r="M11" s="99"/>
      <x:c r="N11" s="126" t="n">
        <x:f>IFERROR(COUNTIF('Work Orders'!$Y$5:$Y$204,"Yes")/(COUNTIF('Work Orders'!$Y$5:$Y$204,"Yes")+COUNTIF('Work Orders'!$Y$5:$Y$204,"No")),0)</x:f>
        <x:v>0.8275862068965517</x:v>
      </x:c>
      <x:c r="O11" s="101"/>
    </x:row>
    <x:row r="12" ht="22" customHeight="1">
      <x:c r="A12" s="99"/>
      <x:c r="B12" s="121" t="str">
        <x:v>response + completion SLAs</x:v>
      </x:c>
      <x:c r="C12" s="101"/>
      <x:c r="D12" s="99"/>
      <x:c r="E12" s="121" t="str">
        <x:v>missing arrivals count noncompliant</x:v>
      </x:c>
      <x:c r="F12" s="101"/>
      <x:c r="G12" s="99"/>
      <x:c r="H12" s="121" t="str">
        <x:v>external completed work orders</x:v>
      </x:c>
      <x:c r="I12" s="101"/>
      <x:c r="J12" s="99"/>
      <x:c r="K12" s="121" t="str">
        <x:v>completed ÷ completed + overdue</x:v>
      </x:c>
      <x:c r="L12" s="101"/>
      <x:c r="M12" s="99"/>
      <x:c r="N12" s="121" t="str">
        <x:v>completed work orders</x:v>
      </x:c>
      <x:c r="O12" s="101"/>
    </x:row>
    <x:row r="13" ht="22" customHeight="1">
      <x:c r="A13" s="102"/>
      <x:c r="B13" s="124" t="str">
        <x:f>"Baseline not tracked | Target ≥ "&amp;TEXT('Lists &amp; SLA'!$C$23,"0%")</x:f>
        <x:v>Baseline not tracked | Target ≥ 90%</x:v>
      </x:c>
      <x:c r="C13" s="104"/>
      <x:c r="D13" s="102"/>
      <x:c r="E13" s="124" t="str">
        <x:f>"Baseline "&amp;TEXT('Lists &amp; SLA'!$B$18,"0%")&amp;" | Target ≥ "&amp;TEXT('Lists &amp; SLA'!$C$18,"0%")</x:f>
        <x:v>Baseline 68% | Target ≥ 95%</x:v>
      </x:c>
      <x:c r="F13" s="104"/>
      <x:c r="G13" s="102"/>
      <x:c r="H13" s="124" t="str">
        <x:f>"Baseline "&amp;TEXT('Lists &amp; SLA'!$B$20,"0%")&amp;" | Target ≥ "&amp;TEXT('Lists &amp; SLA'!$C$20,"0%")</x:f>
        <x:v>Baseline 72% | Target ≥ 90%</x:v>
      </x:c>
      <x:c r="I13" s="104"/>
      <x:c r="J13" s="102"/>
      <x:c r="K13" s="124" t="str">
        <x:f>"Baseline not tracked | Target ≥ "&amp;TEXT('Lists &amp; SLA'!$C$21,"0%")</x:f>
        <x:v>Baseline not tracked | Target ≥ 95%</x:v>
      </x:c>
      <x:c r="L13" s="104"/>
      <x:c r="M13" s="102"/>
      <x:c r="N13" s="124" t="str">
        <x:f>"Baseline not tracked | Target ≥ "&amp;TEXT('Lists &amp; SLA'!$C$22,"0%")</x:f>
        <x:v>Baseline not tracked | Target ≥ 85%</x:v>
      </x:c>
      <x:c r="O13" s="104"/>
    </x:row>
    <x:row r="15" ht="22" customHeight="1">
      <x:c r="A15" s="138" t="str">
        <x:v>WORKLOAD &amp; THROUGHPUT TRENDS</x:v>
      </x:c>
      <x:c r="B15" s="138" t="str">
        <x:v>WORKLOAD &amp; THROUGHPUT TRENDS</x:v>
      </x:c>
      <x:c r="C15" s="138" t="str">
        <x:v>WORKLOAD &amp; THROUGHPUT TRENDS</x:v>
      </x:c>
      <x:c r="D15" s="138" t="str">
        <x:v>WORKLOAD &amp; THROUGHPUT TRENDS</x:v>
      </x:c>
      <x:c r="E15" s="138" t="str">
        <x:v>WORKLOAD &amp; THROUGHPUT TRENDS</x:v>
      </x:c>
      <x:c r="F15" s="138" t="str">
        <x:v>WORKLOAD &amp; THROUGHPUT TRENDS</x:v>
      </x:c>
      <x:c r="G15" s="138" t="str">
        <x:v>WORKLOAD &amp; THROUGHPUT TRENDS</x:v>
      </x:c>
      <x:c r="H15" s="138" t="str">
        <x:v>WORKLOAD &amp; THROUGHPUT TRENDS</x:v>
      </x:c>
      <x:c r="I15" s="138" t="str">
        <x:v>WORKLOAD &amp; THROUGHPUT TRENDS</x:v>
      </x:c>
      <x:c r="J15" s="138" t="str">
        <x:v>WORKLOAD &amp; THROUGHPUT TRENDS</x:v>
      </x:c>
      <x:c r="K15" s="138" t="str">
        <x:v>WORKLOAD &amp; THROUGHPUT TRENDS</x:v>
      </x:c>
      <x:c r="L15" s="138" t="str">
        <x:v>WORKLOAD &amp; THROUGHPUT TRENDS</x:v>
      </x:c>
      <x:c r="M15" s="138" t="str">
        <x:v>WORKLOAD &amp; THROUGHPUT TRENDS</x:v>
      </x:c>
      <x:c r="N15" s="138" t="str">
        <x:v>WORKLOAD &amp; THROUGHPUT TRENDS</x:v>
      </x:c>
      <x:c r="O15" s="138" t="str">
        <x:v>WORKLOAD &amp; THROUGHPUT TRENDS</x:v>
      </x:c>
    </x:row>
    <x:row r="33" ht="22" customHeight="1">
      <x:c r="A33" s="138" t="str">
        <x:v>AUDITABLE CHART DATA &amp; BACKLOG DETAIL</x:v>
      </x:c>
      <x:c r="B33" s="138" t="str">
        <x:v>AUDITABLE CHART DATA &amp; BACKLOG DETAIL</x:v>
      </x:c>
      <x:c r="C33" s="138" t="str">
        <x:v>AUDITABLE CHART DATA &amp; BACKLOG DETAIL</x:v>
      </x:c>
      <x:c r="D33" s="138" t="str">
        <x:v>AUDITABLE CHART DATA &amp; BACKLOG DETAIL</x:v>
      </x:c>
      <x:c r="E33" s="138" t="str">
        <x:v>AUDITABLE CHART DATA &amp; BACKLOG DETAIL</x:v>
      </x:c>
      <x:c r="F33" s="138" t="str">
        <x:v>AUDITABLE CHART DATA &amp; BACKLOG DETAIL</x:v>
      </x:c>
      <x:c r="G33" s="138" t="str">
        <x:v>AUDITABLE CHART DATA &amp; BACKLOG DETAIL</x:v>
      </x:c>
      <x:c r="H33" s="138" t="str">
        <x:v>AUDITABLE CHART DATA &amp; BACKLOG DETAIL</x:v>
      </x:c>
      <x:c r="I33" s="138" t="str">
        <x:v>AUDITABLE CHART DATA &amp; BACKLOG DETAIL</x:v>
      </x:c>
      <x:c r="J33" s="138" t="str">
        <x:v>AUDITABLE CHART DATA &amp; BACKLOG DETAIL</x:v>
      </x:c>
      <x:c r="K33" s="138" t="str">
        <x:v>AUDITABLE CHART DATA &amp; BACKLOG DETAIL</x:v>
      </x:c>
      <x:c r="L33" s="138" t="str">
        <x:v>AUDITABLE CHART DATA &amp; BACKLOG DETAIL</x:v>
      </x:c>
      <x:c r="M33" s="138" t="str">
        <x:v>AUDITABLE CHART DATA &amp; BACKLOG DETAIL</x:v>
      </x:c>
      <x:c r="N33" s="138" t="str">
        <x:v>AUDITABLE CHART DATA &amp; BACKLOG DETAIL</x:v>
      </x:c>
      <x:c r="O33" s="138" t="str">
        <x:v>AUDITABLE CHART DATA &amp; BACKLOG DETAIL</x:v>
      </x:c>
    </x:row>
    <x:row r="35">
      <x:c r="A35" s="21" t="str">
        <x:v>Status</x:v>
      </x:c>
      <x:c r="B35" s="23" t="str">
        <x:v>Count</x:v>
      </x:c>
      <x:c r="E35" s="189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F35" s="190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G35" s="191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I35" s="21" t="str">
        <x:v>Week Start</x:v>
      </x:c>
      <x:c r="J35" s="22" t="str">
        <x:v>Week</x:v>
      </x:c>
      <x:c r="K35" s="22" t="str">
        <x:v>Requests Received</x:v>
      </x:c>
      <x:c r="L35" s="23" t="str">
        <x:v>Completed</x:v>
      </x:c>
    </x:row>
    <x:row r="36">
      <x:c r="A36" s="145" t="str">
        <x:v>New</x:v>
      </x:c>
      <x:c r="B36" s="148" t="n">
        <x:f>COUNTIF('Work Orders'!$L$5:$L$204,$A36)</x:f>
        <x:v>1</x:v>
      </x:c>
      <x:c r="E36" s="192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F36" s="193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G36" s="194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I36" s="154" t="n">
        <x:v>46146</x:v>
      </x:c>
      <x:c r="J36" s="29" t="str">
        <x:f>TEXT($I36,"mmm d")</x:f>
        <x:v>May 4</x:v>
      </x:c>
      <x:c r="K36" s="157" t="n">
        <x:f>COUNTIFS('Work Orders'!$H$5:$H$204,"&gt;="&amp;$I36,'Work Orders'!$H$5:$H$204,"&lt;"&amp;$I36+7)</x:f>
        <x:v>2</x:v>
      </x:c>
      <x:c r="L36" s="148" t="n">
        <x:f>COUNTIFS('Work Orders'!$K$5:$K$204,"&gt;="&amp;$I36,'Work Orders'!$K$5:$K$204,"&lt;"&amp;$I36+7)</x:f>
        <x:v>1</x:v>
      </x:c>
    </x:row>
    <x:row r="37">
      <x:c r="A37" s="146" t="str">
        <x:v>Assigned</x:v>
      </x:c>
      <x:c r="B37" s="149" t="n">
        <x:f>COUNTIF('Work Orders'!$L$5:$L$204,$A37)</x:f>
        <x:v>2</x:v>
      </x:c>
      <x:c r="E37" s="192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F37" s="193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G37" s="194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I37" s="155" t="n">
        <x:v>46153</x:v>
      </x:c>
      <x:c r="J37" s="33" t="str">
        <x:f>TEXT($I37,"mmm d")</x:f>
        <x:v>May 11</x:v>
      </x:c>
      <x:c r="K37" s="158" t="n">
        <x:f>COUNTIFS('Work Orders'!$H$5:$H$204,"&gt;="&amp;$I37,'Work Orders'!$H$5:$H$204,"&lt;"&amp;$I37+7)</x:f>
        <x:v>3</x:v>
      </x:c>
      <x:c r="L37" s="149" t="n">
        <x:f>COUNTIFS('Work Orders'!$K$5:$K$204,"&gt;="&amp;$I37,'Work Orders'!$K$5:$K$204,"&lt;"&amp;$I37+7)</x:f>
        <x:v>4</x:v>
      </x:c>
    </x:row>
    <x:row r="38">
      <x:c r="A38" s="146" t="str">
        <x:v>In Progress</x:v>
      </x:c>
      <x:c r="B38" s="149" t="n">
        <x:f>COUNTIF('Work Orders'!$L$5:$L$204,$A38)</x:f>
        <x:v>2</x:v>
      </x:c>
      <x:c r="E38" s="192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F38" s="193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G38" s="194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I38" s="155" t="n">
        <x:v>46160</x:v>
      </x:c>
      <x:c r="J38" s="33" t="str">
        <x:f>TEXT($I38,"mmm d")</x:f>
        <x:v>May 18</x:v>
      </x:c>
      <x:c r="K38" s="158" t="n">
        <x:f>COUNTIFS('Work Orders'!$H$5:$H$204,"&gt;="&amp;$I38,'Work Orders'!$H$5:$H$204,"&lt;"&amp;$I38+7)</x:f>
        <x:v>2</x:v>
      </x:c>
      <x:c r="L38" s="149" t="n">
        <x:f>COUNTIFS('Work Orders'!$K$5:$K$204,"&gt;="&amp;$I38,'Work Orders'!$K$5:$K$204,"&lt;"&amp;$I38+7)</x:f>
        <x:v>1</x:v>
      </x:c>
    </x:row>
    <x:row r="39">
      <x:c r="A39" s="146" t="str">
        <x:v>On Hold - Parts</x:v>
      </x:c>
      <x:c r="B39" s="149" t="n">
        <x:f>COUNTIF('Work Orders'!$L$5:$L$204,$A39)</x:f>
        <x:v>2</x:v>
      </x:c>
      <x:c r="E39" s="192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F39" s="193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G39" s="194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I39" s="155" t="n">
        <x:v>46167</x:v>
      </x:c>
      <x:c r="J39" s="33" t="str">
        <x:f>TEXT($I39,"mmm d")</x:f>
        <x:v>May 25</x:v>
      </x:c>
      <x:c r="K39" s="158" t="n">
        <x:f>COUNTIFS('Work Orders'!$H$5:$H$204,"&gt;="&amp;$I39,'Work Orders'!$H$5:$H$204,"&lt;"&amp;$I39+7)</x:f>
        <x:v>2</x:v>
      </x:c>
      <x:c r="L39" s="149" t="n">
        <x:f>COUNTIFS('Work Orders'!$K$5:$K$204,"&gt;="&amp;$I39,'Work Orders'!$K$5:$K$204,"&lt;"&amp;$I39+7)</x:f>
        <x:v>2</x:v>
      </x:c>
    </x:row>
    <x:row r="40">
      <x:c r="A40" s="146" t="str">
        <x:v>On Hold - Resident</x:v>
      </x:c>
      <x:c r="B40" s="149" t="n">
        <x:f>COUNTIF('Work Orders'!$L$5:$L$204,$A40)</x:f>
        <x:v>1</x:v>
      </x:c>
      <x:c r="E40" s="195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F40" s="196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G40" s="197" t="str">
        <x:v>Operating note
Daily triage should prioritize safety, active leaks, loss of essential services, and any open item at or beyond 75% of its completion SLA. Review vendor compliance monthly and the preventive maintenance risk flags each week.</x:v>
      </x:c>
      <x:c r="I40" s="155" t="n">
        <x:v>46174</x:v>
      </x:c>
      <x:c r="J40" s="33" t="str">
        <x:f>TEXT($I40,"mmm d")</x:f>
        <x:v>Jun 1</x:v>
      </x:c>
      <x:c r="K40" s="158" t="n">
        <x:f>COUNTIFS('Work Orders'!$H$5:$H$204,"&gt;="&amp;$I40,'Work Orders'!$H$5:$H$204,"&lt;"&amp;$I40+7)</x:f>
        <x:v>3</x:v>
      </x:c>
      <x:c r="L40" s="149" t="n">
        <x:f>COUNTIFS('Work Orders'!$K$5:$K$204,"&gt;="&amp;$I40,'Work Orders'!$K$5:$K$204,"&lt;"&amp;$I40+7)</x:f>
        <x:v>2</x:v>
      </x:c>
    </x:row>
    <x:row r="41">
      <x:c r="A41" s="146" t="str">
        <x:v>Completed</x:v>
      </x:c>
      <x:c r="B41" s="149" t="n">
        <x:f>COUNTIF('Work Orders'!$L$5:$L$204,$A41)</x:f>
        <x:v>29</x:v>
      </x:c>
      <x:c r="I41" s="155" t="n">
        <x:v>46181</x:v>
      </x:c>
      <x:c r="J41" s="33" t="str">
        <x:f>TEXT($I41,"mmm d")</x:f>
        <x:v>Jun 8</x:v>
      </x:c>
      <x:c r="K41" s="158" t="n">
        <x:f>COUNTIFS('Work Orders'!$H$5:$H$204,"&gt;="&amp;$I41,'Work Orders'!$H$5:$H$204,"&lt;"&amp;$I41+7)</x:f>
        <x:v>3</x:v>
      </x:c>
      <x:c r="L41" s="149" t="n">
        <x:f>COUNTIFS('Work Orders'!$K$5:$K$204,"&gt;="&amp;$I41,'Work Orders'!$K$5:$K$204,"&lt;"&amp;$I41+7)</x:f>
        <x:v>3</x:v>
      </x:c>
    </x:row>
    <x:row r="42">
      <x:c r="A42" s="147" t="str">
        <x:v>Cancelled</x:v>
      </x:c>
      <x:c r="B42" s="150" t="n">
        <x:f>COUNTIF('Work Orders'!$L$5:$L$204,$A42)</x:f>
        <x:v>1</x:v>
      </x:c>
      <x:c r="I42" s="155" t="n">
        <x:v>46188</x:v>
      </x:c>
      <x:c r="J42" s="33" t="str">
        <x:f>TEXT($I42,"mmm d")</x:f>
        <x:v>Jun 15</x:v>
      </x:c>
      <x:c r="K42" s="158" t="n">
        <x:f>COUNTIFS('Work Orders'!$H$5:$H$204,"&gt;="&amp;$I42,'Work Orders'!$H$5:$H$204,"&lt;"&amp;$I42+7)</x:f>
        <x:v>3</x:v>
      </x:c>
      <x:c r="L42" s="149" t="n">
        <x:f>COUNTIFS('Work Orders'!$K$5:$K$204,"&gt;="&amp;$I42,'Work Orders'!$K$5:$K$204,"&lt;"&amp;$I42+7)</x:f>
        <x:v>4</x:v>
      </x:c>
    </x:row>
    <x:row r="43">
      <x:c r="I43" s="155" t="n">
        <x:v>46195</x:v>
      </x:c>
      <x:c r="J43" s="33" t="str">
        <x:f>TEXT($I43,"mmm d")</x:f>
        <x:v>Jun 22</x:v>
      </x:c>
      <x:c r="K43" s="158" t="n">
        <x:f>COUNTIFS('Work Orders'!$H$5:$H$204,"&gt;="&amp;$I43,'Work Orders'!$H$5:$H$204,"&lt;"&amp;$I43+7)</x:f>
        <x:v>2</x:v>
      </x:c>
      <x:c r="L43" s="149" t="n">
        <x:f>COUNTIFS('Work Orders'!$K$5:$K$204,"&gt;="&amp;$I43,'Work Orders'!$K$5:$K$204,"&lt;"&amp;$I43+7)</x:f>
        <x:v>1</x:v>
      </x:c>
    </x:row>
    <x:row r="44">
      <x:c r="A44" s="21" t="str">
        <x:v>Backlog by Priority</x:v>
      </x:c>
      <x:c r="B44" s="22" t="str">
        <x:v>Open</x:v>
      </x:c>
      <x:c r="C44" s="23" t="str">
        <x:v>Avg Age (Days)</x:v>
      </x:c>
      <x:c r="I44" s="155" t="n">
        <x:v>46202</x:v>
      </x:c>
      <x:c r="J44" s="33" t="str">
        <x:f>TEXT($I44,"mmm d")</x:f>
        <x:v>Jun 29</x:v>
      </x:c>
      <x:c r="K44" s="158" t="n">
        <x:f>COUNTIFS('Work Orders'!$H$5:$H$204,"&gt;="&amp;$I44,'Work Orders'!$H$5:$H$204,"&lt;"&amp;$I44+7)</x:f>
        <x:v>3</x:v>
      </x:c>
      <x:c r="L44" s="149" t="n">
        <x:f>COUNTIFS('Work Orders'!$K$5:$K$204,"&gt;="&amp;$I44,'Work Orders'!$K$5:$K$204,"&lt;"&amp;$I44+7)</x:f>
        <x:v>3</x:v>
      </x:c>
    </x:row>
    <x:row r="45">
      <x:c r="A45" s="145" t="str">
        <x:v>P1 Emergency</x:v>
      </x:c>
      <x:c r="B45" s="157" t="n">
        <x:f>COUNTIFS('Work Orders'!$E$5:$E$204,$A45,'Work Orders'!$A$5:$A$204,"&lt;&gt;",'Work Orders'!$L$5:$L$204,"&lt;&gt;Completed",'Work Orders'!$L$5:$L$204,"&lt;&gt;Cancelled")</x:f>
        <x:v>0</x:v>
      </x:c>
      <x:c r="C45" s="160" t="n">
        <x:f>IFERROR(SUMIFS('Work Orders'!$O$5:$O$204,'Work Orders'!$E$5:$E$204,$A45,'Work Orders'!$L$5:$L$204,"&lt;&gt;Completed",'Work Orders'!$L$5:$L$204,"&lt;&gt;Cancelled")/$B45,0)</x:f>
        <x:v>0</x:v>
      </x:c>
      <x:c r="I45" s="155" t="n">
        <x:v>46209</x:v>
      </x:c>
      <x:c r="J45" s="33" t="str">
        <x:f>TEXT($I45,"mmm d")</x:f>
        <x:v>Jul 6</x:v>
      </x:c>
      <x:c r="K45" s="158" t="n">
        <x:f>COUNTIFS('Work Orders'!$H$5:$H$204,"&gt;="&amp;$I45,'Work Orders'!$H$5:$H$204,"&lt;"&amp;$I45+7)</x:f>
        <x:v>3</x:v>
      </x:c>
      <x:c r="L45" s="149" t="n">
        <x:f>COUNTIFS('Work Orders'!$K$5:$K$204,"&gt;="&amp;$I45,'Work Orders'!$K$5:$K$204,"&lt;"&amp;$I45+7)</x:f>
        <x:v>3</x:v>
      </x:c>
    </x:row>
    <x:row r="46">
      <x:c r="A46" s="146" t="str">
        <x:v>P2 Urgent</x:v>
      </x:c>
      <x:c r="B46" s="158" t="n">
        <x:f>COUNTIFS('Work Orders'!$E$5:$E$204,$A46,'Work Orders'!$A$5:$A$204,"&lt;&gt;",'Work Orders'!$L$5:$L$204,"&lt;&gt;Completed",'Work Orders'!$L$5:$L$204,"&lt;&gt;Cancelled")</x:f>
        <x:v>4</x:v>
      </x:c>
      <x:c r="C46" s="161" t="n">
        <x:f>IFERROR(SUMIFS('Work Orders'!$O$5:$O$204,'Work Orders'!$E$5:$E$204,$A46,'Work Orders'!$L$5:$L$204,"&lt;&gt;Completed",'Work Orders'!$L$5:$L$204,"&lt;&gt;Cancelled")/$B46,0)</x:f>
        <x:v>5.046006944447072</x:v>
      </x:c>
      <x:c r="I46" s="155" t="n">
        <x:v>46216</x:v>
      </x:c>
      <x:c r="J46" s="33" t="str">
        <x:f>TEXT($I46,"mmm d")</x:f>
        <x:v>Jul 13</x:v>
      </x:c>
      <x:c r="K46" s="158" t="n">
        <x:f>COUNTIFS('Work Orders'!$H$5:$H$204,"&gt;="&amp;$I46,'Work Orders'!$H$5:$H$204,"&lt;"&amp;$I46+7)</x:f>
        <x:v>2</x:v>
      </x:c>
      <x:c r="L46" s="149" t="n">
        <x:f>COUNTIFS('Work Orders'!$K$5:$K$204,"&gt;="&amp;$I46,'Work Orders'!$K$5:$K$204,"&lt;"&amp;$I46+7)</x:f>
        <x:v>2</x:v>
      </x:c>
    </x:row>
    <x:row r="47">
      <x:c r="A47" s="146" t="str">
        <x:v>P3 Routine</x:v>
      </x:c>
      <x:c r="B47" s="158" t="n">
        <x:f>COUNTIFS('Work Orders'!$E$5:$E$204,$A47,'Work Orders'!$A$5:$A$204,"&lt;&gt;",'Work Orders'!$L$5:$L$204,"&lt;&gt;Completed",'Work Orders'!$L$5:$L$204,"&lt;&gt;Cancelled")</x:f>
        <x:v>2</x:v>
      </x:c>
      <x:c r="C47" s="161" t="n">
        <x:f>IFERROR(SUMIFS('Work Orders'!$O$5:$O$204,'Work Orders'!$E$5:$E$204,$A47,'Work Orders'!$L$5:$L$204,"&lt;&gt;Completed",'Work Orders'!$L$5:$L$204,"&lt;&gt;Cancelled")/$B47,0)</x:f>
        <x:v>5.529513888890506</x:v>
      </x:c>
      <x:c r="I47" s="155" t="n">
        <x:v>46223</x:v>
      </x:c>
      <x:c r="J47" s="33" t="str">
        <x:f>TEXT($I47,"mmm d")</x:f>
        <x:v>Jul 20</x:v>
      </x:c>
      <x:c r="K47" s="158" t="n">
        <x:f>COUNTIFS('Work Orders'!$H$5:$H$204,"&gt;="&amp;$I47,'Work Orders'!$H$5:$H$204,"&lt;"&amp;$I47+7)</x:f>
        <x:v>3</x:v>
      </x:c>
      <x:c r="L47" s="149" t="n">
        <x:f>COUNTIFS('Work Orders'!$K$5:$K$204,"&gt;="&amp;$I47,'Work Orders'!$K$5:$K$204,"&lt;"&amp;$I47+7)</x:f>
        <x:v>2</x:v>
      </x:c>
    </x:row>
    <x:row r="48">
      <x:c r="A48" s="146" t="str">
        <x:v>P4 Low / Planned</x:v>
      </x:c>
      <x:c r="B48" s="158" t="n">
        <x:f>COUNTIFS('Work Orders'!$E$5:$E$204,$A48,'Work Orders'!$A$5:$A$204,"&lt;&gt;",'Work Orders'!$L$5:$L$204,"&lt;&gt;Completed",'Work Orders'!$L$5:$L$204,"&lt;&gt;Cancelled")</x:f>
        <x:v>2</x:v>
      </x:c>
      <x:c r="C48" s="161" t="n">
        <x:f>IFERROR(SUMIFS('Work Orders'!$O$5:$O$204,'Work Orders'!$E$5:$E$204,$A48,'Work Orders'!$L$5:$L$204,"&lt;&gt;Completed",'Work Orders'!$L$5:$L$204,"&lt;&gt;Cancelled")/$B48,0)</x:f>
        <x:v>2.687500000003638</x:v>
      </x:c>
      <x:c r="I48" s="156" t="n">
        <x:v>46230</x:v>
      </x:c>
      <x:c r="J48" s="37" t="str">
        <x:f>TEXT($I48,"mmm d")</x:f>
        <x:v>Jul 27</x:v>
      </x:c>
      <x:c r="K48" s="159" t="n">
        <x:f>COUNTIFS('Work Orders'!$H$5:$H$204,"&gt;="&amp;$I48,'Work Orders'!$H$5:$H$204,"&lt;"&amp;$I48+7)</x:f>
        <x:v>5</x:v>
      </x:c>
      <x:c r="L48" s="150" t="n">
        <x:f>COUNTIFS('Work Orders'!$K$5:$K$204,"&gt;="&amp;$I48,'Work Orders'!$K$5:$K$204,"&lt;"&amp;$I48+7)</x:f>
        <x:v>1</x:v>
      </x:c>
    </x:row>
    <x:row r="49">
      <x:c r="A49" s="169" t="str">
        <x:v>Total</x:v>
      </x:c>
      <x:c r="B49" s="170" t="n">
        <x:f>SUM($B$45:$B$48)</x:f>
        <x:v>8</x:v>
      </x:c>
      <x:c r="C49" s="171" t="n">
        <x:f>IFERROR(SUMIFS('Work Orders'!$O$5:$O$204,'Work Orders'!$L$5:$L$204,"&lt;&gt;Completed",'Work Orders'!$L$5:$L$204,"&lt;&gt;Cancelled")/$B$49,0)</x:f>
        <x:v>4.577256944447072</x:v>
      </x:c>
    </x:row>
  </x:sheetData>
  <x:mergeCells>
    <x:mergeCell ref="A1:O1"/>
    <x:mergeCell ref="A2:O2"/>
    <x:mergeCell ref="A4:O4"/>
    <x:mergeCell ref="A5:C5"/>
    <x:mergeCell ref="D5:F5"/>
    <x:mergeCell ref="G5:I5"/>
    <x:mergeCell ref="J5:L5"/>
    <x:mergeCell ref="M5:O5"/>
    <x:mergeCell ref="A10:C10"/>
    <x:mergeCell ref="D10:F10"/>
    <x:mergeCell ref="G10:I10"/>
    <x:mergeCell ref="J10:L10"/>
    <x:mergeCell ref="M10:O10"/>
    <x:mergeCell ref="A15:O15"/>
    <x:mergeCell ref="A33:O33"/>
    <x:mergeCell ref="E35:G40"/>
  </x:mergeCells>
  <x:pageMargins left="0.7" right="0.7" top="0.75" bottom="0.75" header="0.3" footer="0.3"/>
  <x:drawing xmlns:r="http://schemas.openxmlformats.org/officeDocument/2006/relationships" r:id="R6b6f2664e47944f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1" hidden="0" customWidth="1"/>
    <x:col min="4" max="4" width="21" hidden="0" customWidth="1"/>
    <x:col min="5" max="5" width="11" hidden="0" customWidth="1"/>
    <x:col min="6" max="6" width="19" hidden="0" customWidth="1"/>
    <x:col min="7" max="7" width="28" hidden="0" customWidth="1"/>
    <x:col min="8" max="8" width="20" hidden="0" customWidth="1"/>
    <x:col min="9" max="9" width="20" hidden="0" customWidth="1"/>
    <x:col min="10" max="10" width="20" hidden="0" customWidth="1"/>
    <x:col min="11" max="11" width="20" hidden="0" customWidth="1"/>
    <x:col min="12" max="12" width="19" hidden="0" customWidth="1"/>
    <x:col min="13" max="13" width="11" hidden="0" customWidth="1"/>
    <x:col min="14" max="14" width="13" hidden="0" customWidth="1"/>
    <x:col min="15" max="15" width="12" hidden="0" customWidth="1"/>
    <x:col min="16" max="16" width="14" hidden="0" customWidth="1"/>
    <x:col min="17" max="17" width="15" hidden="0" customWidth="1"/>
    <x:col min="18" max="18" width="15" hidden="0" customWidth="1"/>
    <x:col min="19" max="19" width="16" hidden="0" customWidth="1"/>
    <x:col min="20" max="20" width="15" hidden="0" customWidth="1"/>
    <x:col min="21" max="21" width="16" hidden="0" customWidth="1"/>
    <x:col min="22" max="22" width="12" hidden="0" customWidth="1"/>
    <x:col min="23" max="23" width="20" hidden="0" customWidth="1"/>
    <x:col min="24" max="24" width="14" hidden="0" customWidth="1"/>
    <x:col min="25" max="25" width="15" hidden="0" customWidth="1"/>
    <x:col min="26" max="26" width="42" hidden="0" customWidth="1"/>
  </x:cols>
  <x:sheetData>
    <x:row r="1" ht="31" customHeight="1">
      <x:c r="A1" s="4" t="str">
        <x:v>PACIFIC CREST APARTMENTS | MAINTENANCE WORK ORDER REGISTER</x:v>
      </x:c>
      <x:c r="B1" s="4" t="str">
        <x:v>PACIFIC CREST APARTMENTS | MAINTENANCE WORK ORDER REGISTER</x:v>
      </x:c>
      <x:c r="C1" s="4" t="str">
        <x:v>PACIFIC CREST APARTMENTS | MAINTENANCE WORK ORDER REGISTER</x:v>
      </x:c>
      <x:c r="D1" s="4" t="str">
        <x:v>PACIFIC CREST APARTMENTS | MAINTENANCE WORK ORDER REGISTER</x:v>
      </x:c>
      <x:c r="E1" s="4" t="str">
        <x:v>PACIFIC CREST APARTMENTS | MAINTENANCE WORK ORDER REGISTER</x:v>
      </x:c>
      <x:c r="F1" s="4" t="str">
        <x:v>PACIFIC CREST APARTMENTS | MAINTENANCE WORK ORDER REGISTER</x:v>
      </x:c>
      <x:c r="G1" s="4" t="str">
        <x:v>PACIFIC CREST APARTMENTS | MAINTENANCE WORK ORDER REGISTER</x:v>
      </x:c>
      <x:c r="H1" s="4" t="str">
        <x:v>PACIFIC CREST APARTMENTS | MAINTENANCE WORK ORDER REGISTER</x:v>
      </x:c>
      <x:c r="I1" s="4" t="str">
        <x:v>PACIFIC CREST APARTMENTS | MAINTENANCE WORK ORDER REGISTER</x:v>
      </x:c>
      <x:c r="J1" s="4" t="str">
        <x:v>PACIFIC CREST APARTMENTS | MAINTENANCE WORK ORDER REGISTER</x:v>
      </x:c>
      <x:c r="K1" s="4" t="str">
        <x:v>PACIFIC CREST APARTMENTS | MAINTENANCE WORK ORDER REGISTER</x:v>
      </x:c>
      <x:c r="L1" s="4" t="str">
        <x:v>PACIFIC CREST APARTMENTS | MAINTENANCE WORK ORDER REGISTER</x:v>
      </x:c>
      <x:c r="M1" s="4" t="str">
        <x:v>PACIFIC CREST APARTMENTS | MAINTENANCE WORK ORDER REGISTER</x:v>
      </x:c>
      <x:c r="N1" s="4" t="str">
        <x:v>PACIFIC CREST APARTMENTS | MAINTENANCE WORK ORDER REGISTER</x:v>
      </x:c>
      <x:c r="O1" s="4" t="str">
        <x:v>PACIFIC CREST APARTMENTS | MAINTENANCE WORK ORDER REGISTER</x:v>
      </x:c>
      <x:c r="P1" s="4" t="str">
        <x:v>PACIFIC CREST APARTMENTS | MAINTENANCE WORK ORDER REGISTER</x:v>
      </x:c>
      <x:c r="Q1" s="4" t="str">
        <x:v>PACIFIC CREST APARTMENTS | MAINTENANCE WORK ORDER REGISTER</x:v>
      </x:c>
      <x:c r="R1" s="4" t="str">
        <x:v>PACIFIC CREST APARTMENTS | MAINTENANCE WORK ORDER REGISTER</x:v>
      </x:c>
      <x:c r="S1" s="4" t="str">
        <x:v>PACIFIC CREST APARTMENTS | MAINTENANCE WORK ORDER REGISTER</x:v>
      </x:c>
      <x:c r="T1" s="4" t="str">
        <x:v>PACIFIC CREST APARTMENTS | MAINTENANCE WORK ORDER REGISTER</x:v>
      </x:c>
      <x:c r="U1" s="4" t="str">
        <x:v>PACIFIC CREST APARTMENTS | MAINTENANCE WORK ORDER REGISTER</x:v>
      </x:c>
      <x:c r="V1" s="4" t="str">
        <x:v>PACIFIC CREST APARTMENTS | MAINTENANCE WORK ORDER REGISTER</x:v>
      </x:c>
      <x:c r="W1" s="4" t="str">
        <x:v>PACIFIC CREST APARTMENTS | MAINTENANCE WORK ORDER REGISTER</x:v>
      </x:c>
      <x:c r="X1" s="4" t="str">
        <x:v>PACIFIC CREST APARTMENTS | MAINTENANCE WORK ORDER REGISTER</x:v>
      </x:c>
      <x:c r="Y1" s="4" t="str">
        <x:v>PACIFIC CREST APARTMENTS | MAINTENANCE WORK ORDER REGISTER</x:v>
      </x:c>
      <x:c r="Z1" s="4" t="str">
        <x:v>PACIFIC CREST APARTMENTS | MAINTENANCE WORK ORDER REGISTER</x:v>
      </x:c>
    </x:row>
    <x:row r="2" ht="28" customHeight="1">
      <x:c r="A2" s="9" t="str">
        <x:v>200-unit community | Long Beach, California | 38-record fictional operating sample; blue-shaded columns are calculated.</x:v>
      </x:c>
      <x:c r="B2" s="9" t="str">
        <x:v>200-unit community | Long Beach, California | 38-record fictional operating sample; blue-shaded columns are calculated.</x:v>
      </x:c>
      <x:c r="C2" s="9" t="str">
        <x:v>200-unit community | Long Beach, California | 38-record fictional operating sample; blue-shaded columns are calculated.</x:v>
      </x:c>
      <x:c r="D2" s="9" t="str">
        <x:v>200-unit community | Long Beach, California | 38-record fictional operating sample; blue-shaded columns are calculated.</x:v>
      </x:c>
      <x:c r="E2" s="9" t="str">
        <x:v>200-unit community | Long Beach, California | 38-record fictional operating sample; blue-shaded columns are calculated.</x:v>
      </x:c>
      <x:c r="F2" s="9" t="str">
        <x:v>200-unit community | Long Beach, California | 38-record fictional operating sample; blue-shaded columns are calculated.</x:v>
      </x:c>
      <x:c r="G2" s="9" t="str">
        <x:v>200-unit community | Long Beach, California | 38-record fictional operating sample; blue-shaded columns are calculated.</x:v>
      </x:c>
      <x:c r="H2" s="9" t="str">
        <x:v>200-unit community | Long Beach, California | 38-record fictional operating sample; blue-shaded columns are calculated.</x:v>
      </x:c>
      <x:c r="I2" s="9" t="str">
        <x:v>200-unit community | Long Beach, California | 38-record fictional operating sample; blue-shaded columns are calculated.</x:v>
      </x:c>
      <x:c r="J2" s="9" t="str">
        <x:v>200-unit community | Long Beach, California | 38-record fictional operating sample; blue-shaded columns are calculated.</x:v>
      </x:c>
      <x:c r="K2" s="9" t="str">
        <x:v>200-unit community | Long Beach, California | 38-record fictional operating sample; blue-shaded columns are calculated.</x:v>
      </x:c>
      <x:c r="L2" s="9" t="str">
        <x:v>200-unit community | Long Beach, California | 38-record fictional operating sample; blue-shaded columns are calculated.</x:v>
      </x:c>
      <x:c r="M2" s="9" t="str">
        <x:v>200-unit community | Long Beach, California | 38-record fictional operating sample; blue-shaded columns are calculated.</x:v>
      </x:c>
      <x:c r="N2" s="9" t="str">
        <x:v>200-unit community | Long Beach, California | 38-record fictional operating sample; blue-shaded columns are calculated.</x:v>
      </x:c>
      <x:c r="O2" s="9" t="str">
        <x:v>200-unit community | Long Beach, California | 38-record fictional operating sample; blue-shaded columns are calculated.</x:v>
      </x:c>
      <x:c r="P2" s="9" t="str">
        <x:v>200-unit community | Long Beach, California | 38-record fictional operating sample; blue-shaded columns are calculated.</x:v>
      </x:c>
      <x:c r="Q2" s="9" t="str">
        <x:v>200-unit community | Long Beach, California | 38-record fictional operating sample; blue-shaded columns are calculated.</x:v>
      </x:c>
      <x:c r="R2" s="9" t="str">
        <x:v>200-unit community | Long Beach, California | 38-record fictional operating sample; blue-shaded columns are calculated.</x:v>
      </x:c>
      <x:c r="S2" s="9" t="str">
        <x:v>200-unit community | Long Beach, California | 38-record fictional operating sample; blue-shaded columns are calculated.</x:v>
      </x:c>
      <x:c r="T2" s="9" t="str">
        <x:v>200-unit community | Long Beach, California | 38-record fictional operating sample; blue-shaded columns are calculated.</x:v>
      </x:c>
      <x:c r="U2" s="9" t="str">
        <x:v>200-unit community | Long Beach, California | 38-record fictional operating sample; blue-shaded columns are calculated.</x:v>
      </x:c>
      <x:c r="V2" s="9" t="str">
        <x:v>200-unit community | Long Beach, California | 38-record fictional operating sample; blue-shaded columns are calculated.</x:v>
      </x:c>
      <x:c r="W2" s="9" t="str">
        <x:v>200-unit community | Long Beach, California | 38-record fictional operating sample; blue-shaded columns are calculated.</x:v>
      </x:c>
      <x:c r="X2" s="9" t="str">
        <x:v>200-unit community | Long Beach, California | 38-record fictional operating sample; blue-shaded columns are calculated.</x:v>
      </x:c>
      <x:c r="Y2" s="9" t="str">
        <x:v>200-unit community | Long Beach, California | 38-record fictional operating sample; blue-shaded columns are calculated.</x:v>
      </x:c>
      <x:c r="Z2" s="9" t="str">
        <x:v>200-unit community | Long Beach, California | 38-record fictional operating sample; blue-shaded columns are calculated.</x:v>
      </x:c>
    </x:row>
    <x:row r="4" ht="36" customHeight="1">
      <x:c r="A4" s="21" t="str">
        <x:v>Request ID</x:v>
      </x:c>
      <x:c r="B4" s="22" t="str">
        <x:v>Resident</x:v>
      </x:c>
      <x:c r="C4" s="22" t="str">
        <x:v>Unit Number</x:v>
      </x:c>
      <x:c r="D4" s="22" t="str">
        <x:v>Category</x:v>
      </x:c>
      <x:c r="E4" s="22" t="str">
        <x:v>Priority</x:v>
      </x:c>
      <x:c r="F4" s="22" t="str">
        <x:v>Assigned Technician</x:v>
      </x:c>
      <x:c r="G4" s="22" t="str">
        <x:v>Vendor / Team</x:v>
      </x:c>
      <x:c r="H4" s="22" t="str">
        <x:v>Date Submitted</x:v>
      </x:c>
      <x:c r="I4" s="22" t="str">
        <x:v>First Response</x:v>
      </x:c>
      <x:c r="J4" s="22" t="str">
        <x:v>Due Date</x:v>
      </x:c>
      <x:c r="K4" s="22" t="str">
        <x:v>Completion Date</x:v>
      </x:c>
      <x:c r="L4" s="22" t="str">
        <x:v>Status</x:v>
      </x:c>
      <x:c r="M4" s="22" t="str">
        <x:v>Cost</x:v>
      </x:c>
      <x:c r="N4" s="22" t="str">
        <x:v>Resident Rating</x:v>
      </x:c>
      <x:c r="O4" s="22" t="str">
        <x:v>Age (Days)</x:v>
      </x:c>
      <x:c r="P4" s="22" t="str">
        <x:v>Response Hours</x:v>
      </x:c>
      <x:c r="Q4" s="22" t="str">
        <x:v>Completion Hours</x:v>
      </x:c>
      <x:c r="R4" s="22" t="str">
        <x:v>Response SLA (hrs)</x:v>
      </x:c>
      <x:c r="S4" s="22" t="str">
        <x:v>Completion SLA (hrs)</x:v>
      </x:c>
      <x:c r="T4" s="22" t="str">
        <x:v>Response SLA Met?</x:v>
      </x:c>
      <x:c r="U4" s="22" t="str">
        <x:v>Completion SLA Met?</x:v>
      </x:c>
      <x:c r="V4" s="22" t="str">
        <x:v>Past Due?</x:v>
      </x:c>
      <x:c r="W4" s="22" t="str">
        <x:v>On-Site Date / Time</x:v>
      </x:c>
      <x:c r="X4" s="22" t="str">
        <x:v>On-Site Hours</x:v>
      </x:c>
      <x:c r="Y4" s="22" t="str">
        <x:v>First-Time Fix?</x:v>
      </x:c>
      <x:c r="Z4" s="23" t="str">
        <x:v>Notes</x:v>
      </x:c>
    </x:row>
    <x:row r="5" ht="27" customHeight="1">
      <x:c r="A5" s="26" t="str">
        <x:v>MR-26001</x:v>
      </x:c>
      <x:c r="B5" s="74" t="str">
        <x:v>Elena Ramirez</x:v>
      </x:c>
      <x:c r="C5" s="74" t="str">
        <x:v>A-104</x:v>
      </x:c>
      <x:c r="D5" s="74" t="str">
        <x:v>Plumbing</x:v>
      </x:c>
      <x:c r="E5" s="74" t="str">
        <x:v>P2 Urgent</x:v>
      </x:c>
      <x:c r="F5" s="74" t="str">
        <x:v>Luis Hernandez</x:v>
      </x:c>
      <x:c r="G5" s="74" t="str">
        <x:v>Coastal Plumbing Services</x:v>
      </x:c>
      <x:c r="H5" s="69" t="n">
        <x:v>46149.34166666667</x:v>
      </x:c>
      <x:c r="I5" s="69" t="n">
        <x:v>46149.36666666667</x:v>
      </x:c>
      <x:c r="J5" s="69" t="n">
        <x:f>IF($A5="","",$H5+$S5/24)</x:f>
        <x:v>46150.34166666667</x:v>
      </x:c>
      <x:c r="K5" s="69" t="n">
        <x:v>46149.55</x:v>
      </x:c>
      <x:c r="L5" s="26" t="str">
        <x:v>Completed</x:v>
      </x:c>
      <x:c r="M5" s="70" t="n">
        <x:v>185</x:v>
      </x:c>
      <x:c r="N5" s="71" t="n">
        <x:v>5</x:v>
      </x:c>
      <x:c r="O5" s="72" t="n">
        <x:f>IF($A5="","",MAX(0,IF($K5&lt;&gt;"",$K5-$H5,'Dashboard'!$B$3-$H5)) )</x:f>
        <x:v>0.20833333333575865</x:v>
      </x:c>
      <x:c r="P5" s="72" t="n">
        <x:f>IF(OR($A5="",$I5=""),"",ROUND(($I5-$H5)*24,1))</x:f>
        <x:v>0.6</x:v>
      </x:c>
      <x:c r="Q5" s="72" t="n">
        <x:f>IF(OR($A5="",$K5=""),"",ROUND(($K5-$H5)*24,1))</x:f>
        <x:v>5</x:v>
      </x:c>
      <x:c r="R5" s="72" t="n">
        <x:f>IF($A5="","",IFERROR(VLOOKUP($E5,'Lists &amp; SLA'!$A$5:$C$8,2,FALSE),""))</x:f>
        <x:v>0.5</x:v>
      </x:c>
      <x:c r="S5" s="72" t="n">
        <x:f>IF($A5="","",IFERROR(VLOOKUP($E5,'Lists &amp; SLA'!$A$5:$C$8,3,FALSE),""))</x:f>
        <x:v>24</x:v>
      </x:c>
      <x:c r="T5" s="73" t="str">
        <x:f>IF($A5="","",IF($L5="Cancelled","N/A",IF($P5="","Pending",IF($P5&lt;=$R5,"Yes","No"))))</x:f>
        <x:v>No</x:v>
      </x:c>
      <x:c r="U5" s="73" t="str">
        <x:f>IF($A5="","",IF($L5="Cancelled","N/A",IF($K5="","Pending",IF($Q5&lt;=$S5,"Yes","No"))))</x:f>
        <x:v>Yes</x:v>
      </x:c>
      <x:c r="V5" s="73" t="str">
        <x:f>IF($A5="","",IF(OR($L5="Completed",$L5="Cancelled"),"No",IF('Dashboard'!$B$3&gt;$J5,"Yes","No")))</x:f>
        <x:v>No</x:v>
      </x:c>
      <x:c r="W5" s="69" t="n">
        <x:v>46149.45</x:v>
      </x:c>
      <x:c r="X5" s="72" t="n">
        <x:f>IF(OR($A5="",$W5=""),"",ROUND(($W5-$H5)*24,1))</x:f>
        <x:v>2.6</x:v>
      </x:c>
      <x:c r="Y5" s="26" t="str">
        <x:v>Yes</x:v>
      </x:c>
      <x:c r="Z5" s="75" t="str">
        <x:v>Kitchen sink supply line replaced; cabinet dried and inspected.</x:v>
      </x:c>
    </x:row>
    <x:row r="6" ht="27" customHeight="1">
      <x:c r="A6" s="26" t="str">
        <x:v>MR-26002</x:v>
      </x:c>
      <x:c r="B6" s="74" t="str">
        <x:v>Jordan Lee</x:v>
      </x:c>
      <x:c r="C6" s="74" t="str">
        <x:v>C-318</x:v>
      </x:c>
      <x:c r="D6" s="74" t="str">
        <x:v>Electrical</x:v>
      </x:c>
      <x:c r="E6" s="74" t="str">
        <x:v>P3 Routine</x:v>
      </x:c>
      <x:c r="F6" s="74" t="str">
        <x:v>Andre Collins</x:v>
      </x:c>
      <x:c r="G6" s="74" t="str">
        <x:v>In-House</x:v>
      </x:c>
      <x:c r="H6" s="69" t="n">
        <x:v>46152.59722222222</x:v>
      </x:c>
      <x:c r="I6" s="69" t="n">
        <x:v>46152.680555555555</x:v>
      </x:c>
      <x:c r="J6" s="69" t="n">
        <x:f>IF($A6="","",$H6+$S6/24)</x:f>
        <x:v>46155.59722222222</x:v>
      </x:c>
      <x:c r="K6" s="69" t="n">
        <x:v>46153.76388888889</x:v>
      </x:c>
      <x:c r="L6" s="26" t="str">
        <x:v>Completed</x:v>
      </x:c>
      <x:c r="M6" s="70" t="n">
        <x:v>42</x:v>
      </x:c>
      <x:c r="N6" s="71" t="n">
        <x:v>4</x:v>
      </x:c>
      <x:c r="O6" s="72" t="n">
        <x:f>IF($A6="","",MAX(0,IF($K6&lt;&gt;"",$K6-$H6,'Dashboard'!$B$3-$H6)) )</x:f>
        <x:v>1.1666666666715173</x:v>
      </x:c>
      <x:c r="P6" s="72" t="n">
        <x:f>IF(OR($A6="",$I6=""),"",ROUND(($I6-$H6)*24,1))</x:f>
        <x:v>2</x:v>
      </x:c>
      <x:c r="Q6" s="72" t="n">
        <x:f>IF(OR($A6="",$K6=""),"",ROUND(($K6-$H6)*24,1))</x:f>
        <x:v>28</x:v>
      </x:c>
      <x:c r="R6" s="72" t="n">
        <x:f>IF($A6="","",IFERROR(VLOOKUP($E6,'Lists &amp; SLA'!$A$5:$C$8,2,FALSE),""))</x:f>
        <x:v>2</x:v>
      </x:c>
      <x:c r="S6" s="72" t="n">
        <x:f>IF($A6="","",IFERROR(VLOOKUP($E6,'Lists &amp; SLA'!$A$5:$C$8,3,FALSE),""))</x:f>
        <x:v>72</x:v>
      </x:c>
      <x:c r="T6" s="73" t="str">
        <x:f>IF($A6="","",IF($L6="Cancelled","N/A",IF($P6="","Pending",IF($P6&lt;=$R6,"Yes","No"))))</x:f>
        <x:v>Yes</x:v>
      </x:c>
      <x:c r="U6" s="73" t="str">
        <x:f>IF($A6="","",IF($L6="Cancelled","N/A",IF($K6="","Pending",IF($Q6&lt;=$S6,"Yes","No"))))</x:f>
        <x:v>Yes</x:v>
      </x:c>
      <x:c r="V6" s="73" t="str">
        <x:f>IF($A6="","",IF(OR($L6="Completed",$L6="Cancelled"),"No",IF('Dashboard'!$B$3&gt;$J6,"Yes","No")))</x:f>
        <x:v>No</x:v>
      </x:c>
      <x:c r="W6" s="69" t="n">
        <x:v>46152.88888888889</x:v>
      </x:c>
      <x:c r="X6" s="72" t="n">
        <x:f>IF(OR($A6="",$W6=""),"",ROUND(($W6-$H6)*24,1))</x:f>
        <x:v>7</x:v>
      </x:c>
      <x:c r="Y6" s="26" t="str">
        <x:v>Yes</x:v>
      </x:c>
      <x:c r="Z6" s="75" t="str">
        <x:v>Hallway fixture ballast replaced during next-day route.</x:v>
      </x:c>
    </x:row>
    <x:row r="7" ht="27" customHeight="1">
      <x:c r="A7" s="26" t="str">
        <x:v>MR-26003</x:v>
      </x:c>
      <x:c r="B7" s="74" t="str">
        <x:v>Priya Shah</x:v>
      </x:c>
      <x:c r="C7" s="74" t="str">
        <x:v>B-225</x:v>
      </x:c>
      <x:c r="D7" s="74" t="str">
        <x:v>HVAC</x:v>
      </x:c>
      <x:c r="E7" s="74" t="str">
        <x:v>P2 Urgent</x:v>
      </x:c>
      <x:c r="F7" s="74" t="str">
        <x:v>Maya Patel</x:v>
      </x:c>
      <x:c r="G7" s="74" t="str">
        <x:v>Harbor HVAC &amp; Mechanical</x:v>
      </x:c>
      <x:c r="H7" s="69" t="n">
        <x:v>46154.42013888889</x:v>
      </x:c>
      <x:c r="I7" s="69" t="n">
        <x:v>46154.45138888889</x:v>
      </x:c>
      <x:c r="J7" s="69" t="n">
        <x:f>IF($A7="","",$H7+$S7/24)</x:f>
        <x:v>46155.42013888889</x:v>
      </x:c>
      <x:c r="K7" s="69" t="n">
        <x:v>46154.711805555555</x:v>
      </x:c>
      <x:c r="L7" s="26" t="str">
        <x:v>Completed</x:v>
      </x:c>
      <x:c r="M7" s="70" t="n">
        <x:v>295</x:v>
      </x:c>
      <x:c r="N7" s="71" t="n">
        <x:v>5</x:v>
      </x:c>
      <x:c r="O7" s="72" t="n">
        <x:f>IF($A7="","",MAX(0,IF($K7&lt;&gt;"",$K7-$H7,'Dashboard'!$B$3-$H7)) )</x:f>
        <x:v>0.29166666666424135</x:v>
      </x:c>
      <x:c r="P7" s="72" t="n">
        <x:f>IF(OR($A7="",$I7=""),"",ROUND(($I7-$H7)*24,1))</x:f>
        <x:v>0.8</x:v>
      </x:c>
      <x:c r="Q7" s="72" t="n">
        <x:f>IF(OR($A7="",$K7=""),"",ROUND(($K7-$H7)*24,1))</x:f>
        <x:v>7</x:v>
      </x:c>
      <x:c r="R7" s="72" t="n">
        <x:f>IF($A7="","",IFERROR(VLOOKUP($E7,'Lists &amp; SLA'!$A$5:$C$8,2,FALSE),""))</x:f>
        <x:v>0.5</x:v>
      </x:c>
      <x:c r="S7" s="72" t="n">
        <x:f>IF($A7="","",IFERROR(VLOOKUP($E7,'Lists &amp; SLA'!$A$5:$C$8,3,FALSE),""))</x:f>
        <x:v>24</x:v>
      </x:c>
      <x:c r="T7" s="73" t="str">
        <x:f>IF($A7="","",IF($L7="Cancelled","N/A",IF($P7="","Pending",IF($P7&lt;=$R7,"Yes","No"))))</x:f>
        <x:v>No</x:v>
      </x:c>
      <x:c r="U7" s="73" t="str">
        <x:f>IF($A7="","",IF($L7="Cancelled","N/A",IF($K7="","Pending",IF($Q7&lt;=$S7,"Yes","No"))))</x:f>
        <x:v>Yes</x:v>
      </x:c>
      <x:c r="V7" s="73" t="str">
        <x:f>IF($A7="","",IF(OR($L7="Completed",$L7="Cancelled"),"No",IF('Dashboard'!$B$3&gt;$J7,"Yes","No")))</x:f>
        <x:v>No</x:v>
      </x:c>
      <x:c r="W7" s="69" t="n">
        <x:v>46154.53472222222</x:v>
      </x:c>
      <x:c r="X7" s="72" t="n">
        <x:f>IF(OR($A7="",$W7=""),"",ROUND(($W7-$H7)*24,1))</x:f>
        <x:v>2.7</x:v>
      </x:c>
      <x:c r="Y7" s="26" t="str">
        <x:v>Yes</x:v>
      </x:c>
      <x:c r="Z7" s="75" t="str">
        <x:v>Capacitor failed; cooling restored same day.</x:v>
      </x:c>
    </x:row>
    <x:row r="8" ht="27" customHeight="1">
      <x:c r="A8" s="26" t="str">
        <x:v>MR-26004</x:v>
      </x:c>
      <x:c r="B8" s="74" t="str">
        <x:v>Marcus Reed</x:v>
      </x:c>
      <x:c r="C8" s="74" t="str">
        <x:v>D-407</x:v>
      </x:c>
      <x:c r="D8" s="74" t="str">
        <x:v>Safety / Security</x:v>
      </x:c>
      <x:c r="E8" s="74" t="str">
        <x:v>P3 Routine</x:v>
      </x:c>
      <x:c r="F8" s="74" t="str">
        <x:v>Andre Collins</x:v>
      </x:c>
      <x:c r="G8" s="74" t="str">
        <x:v>In-House</x:v>
      </x:c>
      <x:c r="H8" s="69" t="n">
        <x:v>46156.756944444445</x:v>
      </x:c>
      <x:c r="I8" s="69" t="n">
        <x:v>46156.79861111111</x:v>
      </x:c>
      <x:c r="J8" s="69" t="n">
        <x:f>IF($A8="","",$H8+$S8/24)</x:f>
        <x:v>46159.756944444445</x:v>
      </x:c>
      <x:c r="K8" s="69" t="n">
        <x:v>46156.881944444445</x:v>
      </x:c>
      <x:c r="L8" s="26" t="str">
        <x:v>Completed</x:v>
      </x:c>
      <x:c r="M8" s="70" t="n">
        <x:v>18</x:v>
      </x:c>
      <x:c r="N8" s="71" t="n">
        <x:v>5</x:v>
      </x:c>
      <x:c r="O8" s="72" t="n">
        <x:f>IF($A8="","",MAX(0,IF($K8&lt;&gt;"",$K8-$H8,'Dashboard'!$B$3-$H8)) )</x:f>
        <x:v>0.125</x:v>
      </x:c>
      <x:c r="P8" s="72" t="n">
        <x:f>IF(OR($A8="",$I8=""),"",ROUND(($I8-$H8)*24,1))</x:f>
        <x:v>1</x:v>
      </x:c>
      <x:c r="Q8" s="72" t="n">
        <x:f>IF(OR($A8="",$K8=""),"",ROUND(($K8-$H8)*24,1))</x:f>
        <x:v>3</x:v>
      </x:c>
      <x:c r="R8" s="72" t="n">
        <x:f>IF($A8="","",IFERROR(VLOOKUP($E8,'Lists &amp; SLA'!$A$5:$C$8,2,FALSE),""))</x:f>
        <x:v>2</x:v>
      </x:c>
      <x:c r="S8" s="72" t="n">
        <x:f>IF($A8="","",IFERROR(VLOOKUP($E8,'Lists &amp; SLA'!$A$5:$C$8,3,FALSE),""))</x:f>
        <x:v>72</x:v>
      </x:c>
      <x:c r="T8" s="73" t="str">
        <x:f>IF($A8="","",IF($L8="Cancelled","N/A",IF($P8="","Pending",IF($P8&lt;=$R8,"Yes","No"))))</x:f>
        <x:v>Yes</x:v>
      </x:c>
      <x:c r="U8" s="73" t="str">
        <x:f>IF($A8="","",IF($L8="Cancelled","N/A",IF($K8="","Pending",IF($Q8&lt;=$S8,"Yes","No"))))</x:f>
        <x:v>Yes</x:v>
      </x:c>
      <x:c r="V8" s="73" t="str">
        <x:f>IF($A8="","",IF(OR($L8="Completed",$L8="Cancelled"),"No",IF('Dashboard'!$B$3&gt;$J8,"Yes","No")))</x:f>
        <x:v>No</x:v>
      </x:c>
      <x:c r="W8" s="69" t="n">
        <x:v>46156.87777777778</x:v>
      </x:c>
      <x:c r="X8" s="72" t="n">
        <x:f>IF(OR($A8="",$W8=""),"",ROUND(($W8-$H8)*24,1))</x:f>
        <x:v>2.9</x:v>
      </x:c>
      <x:c r="Y8" s="26" t="str">
        <x:v>Yes</x:v>
      </x:c>
      <x:c r="Z8" s="75" t="str">
        <x:v>Smoke detector battery and unit replaced after testing.</x:v>
      </x:c>
    </x:row>
    <x:row r="9" ht="27" customHeight="1">
      <x:c r="A9" s="26" t="str">
        <x:v>MR-26005</x:v>
      </x:c>
      <x:c r="B9" s="74" t="str">
        <x:v>Sophie Nguyen</x:v>
      </x:c>
      <x:c r="C9" s="74" t="str">
        <x:v>A-512</x:v>
      </x:c>
      <x:c r="D9" s="74" t="str">
        <x:v>Safety / Security</x:v>
      </x:c>
      <x:c r="E9" s="74" t="str">
        <x:v>P1 Emergency</x:v>
      </x:c>
      <x:c r="F9" s="74" t="str">
        <x:v>Tessa Nguyen</x:v>
      </x:c>
      <x:c r="G9" s="74" t="str">
        <x:v>West Coast Elevator</x:v>
      </x:c>
      <x:c r="H9" s="69" t="n">
        <x:v>46159.322916666664</x:v>
      </x:c>
      <x:c r="I9" s="69" t="n">
        <x:v>46159.33</x:v>
      </x:c>
      <x:c r="J9" s="69" t="n">
        <x:f>IF($A9="","",$H9+$S9/24)</x:f>
        <x:v>46159.48958333333</x:v>
      </x:c>
      <x:c r="K9" s="69" t="n">
        <x:v>46159.46041666667</x:v>
      </x:c>
      <x:c r="L9" s="26" t="str">
        <x:v>Completed</x:v>
      </x:c>
      <x:c r="M9" s="70" t="n">
        <x:v>640</x:v>
      </x:c>
      <x:c r="N9" s="71" t="n">
        <x:v>5</x:v>
      </x:c>
      <x:c r="O9" s="72" t="n">
        <x:f>IF($A9="","",MAX(0,IF($K9&lt;&gt;"",$K9-$H9,'Dashboard'!$B$3-$H9)) )</x:f>
        <x:v>0.13750000000436557</x:v>
      </x:c>
      <x:c r="P9" s="72" t="n">
        <x:f>IF(OR($A9="",$I9=""),"",ROUND(($I9-$H9)*24,1))</x:f>
        <x:v>0.2</x:v>
      </x:c>
      <x:c r="Q9" s="72" t="n">
        <x:f>IF(OR($A9="",$K9=""),"",ROUND(($K9-$H9)*24,1))</x:f>
        <x:v>3.3</x:v>
      </x:c>
      <x:c r="R9" s="72" t="n">
        <x:f>IF($A9="","",IFERROR(VLOOKUP($E9,'Lists &amp; SLA'!$A$5:$C$8,2,FALSE),""))</x:f>
        <x:v>0.0833</x:v>
      </x:c>
      <x:c r="S9" s="72" t="n">
        <x:f>IF($A9="","",IFERROR(VLOOKUP($E9,'Lists &amp; SLA'!$A$5:$C$8,3,FALSE),""))</x:f>
        <x:v>4</x:v>
      </x:c>
      <x:c r="T9" s="73" t="str">
        <x:f>IF($A9="","",IF($L9="Cancelled","N/A",IF($P9="","Pending",IF($P9&lt;=$R9,"Yes","No"))))</x:f>
        <x:v>No</x:v>
      </x:c>
      <x:c r="U9" s="73" t="str">
        <x:f>IF($A9="","",IF($L9="Cancelled","N/A",IF($K9="","Pending",IF($Q9&lt;=$S9,"Yes","No"))))</x:f>
        <x:v>Yes</x:v>
      </x:c>
      <x:c r="V9" s="73" t="str">
        <x:f>IF($A9="","",IF(OR($L9="Completed",$L9="Cancelled"),"No",IF('Dashboard'!$B$3&gt;$J9,"Yes","No")))</x:f>
        <x:v>No</x:v>
      </x:c>
      <x:c r="W9" s="69" t="n">
        <x:v>46159.340416666666</x:v>
      </x:c>
      <x:c r="X9" s="72" t="n">
        <x:f>IF(OR($A9="",$W9=""),"",ROUND(($W9-$H9)*24,1))</x:f>
        <x:v>0.4</x:v>
      </x:c>
      <x:c r="Y9" s="26" t="str">
        <x:v>Yes</x:v>
      </x:c>
      <x:c r="Z9" s="75" t="str">
        <x:v>Elevator door sensor realigned; car returned to service.</x:v>
      </x:c>
    </x:row>
    <x:row r="10" ht="27" customHeight="1">
      <x:c r="A10" s="26" t="str">
        <x:v>MR-26006</x:v>
      </x:c>
      <x:c r="B10" s="74" t="str">
        <x:v>Daniel Kim</x:v>
      </x:c>
      <x:c r="C10" s="74" t="str">
        <x:v>B-116</x:v>
      </x:c>
      <x:c r="D10" s="74" t="str">
        <x:v>Appliance</x:v>
      </x:c>
      <x:c r="E10" s="74" t="str">
        <x:v>P2 Urgent</x:v>
      </x:c>
      <x:c r="F10" s="74" t="str">
        <x:v>Andre Collins</x:v>
      </x:c>
      <x:c r="G10" s="74" t="str">
        <x:v>In-House</x:v>
      </x:c>
      <x:c r="H10" s="69" t="n">
        <x:v>46161.395833333336</x:v>
      </x:c>
      <x:c r="I10" s="69" t="n">
        <x:v>46161.45416666667</x:v>
      </x:c>
      <x:c r="J10" s="69" t="n">
        <x:f>IF($A10="","",$H10+$S10/24)</x:f>
        <x:v>46162.395833333336</x:v>
      </x:c>
      <x:c r="K10" s="69" t="n">
        <x:v>46162.3125</x:v>
      </x:c>
      <x:c r="L10" s="26" t="str">
        <x:v>Completed</x:v>
      </x:c>
      <x:c r="M10" s="70" t="n">
        <x:v>126</x:v>
      </x:c>
      <x:c r="N10" s="71" t="n">
        <x:v>4</x:v>
      </x:c>
      <x:c r="O10" s="72" t="n">
        <x:f>IF($A10="","",MAX(0,IF($K10&lt;&gt;"",$K10-$H10,'Dashboard'!$B$3-$H10)) )</x:f>
        <x:v>0.9166666666642413</x:v>
      </x:c>
      <x:c r="P10" s="72" t="n">
        <x:f>IF(OR($A10="",$I10=""),"",ROUND(($I10-$H10)*24,1))</x:f>
        <x:v>1.4</x:v>
      </x:c>
      <x:c r="Q10" s="72" t="n">
        <x:f>IF(OR($A10="",$K10=""),"",ROUND(($K10-$H10)*24,1))</x:f>
        <x:v>22</x:v>
      </x:c>
      <x:c r="R10" s="72" t="n">
        <x:f>IF($A10="","",IFERROR(VLOOKUP($E10,'Lists &amp; SLA'!$A$5:$C$8,2,FALSE),""))</x:f>
        <x:v>0.5</x:v>
      </x:c>
      <x:c r="S10" s="72" t="n">
        <x:f>IF($A10="","",IFERROR(VLOOKUP($E10,'Lists &amp; SLA'!$A$5:$C$8,3,FALSE),""))</x:f>
        <x:v>24</x:v>
      </x:c>
      <x:c r="T10" s="73" t="str">
        <x:f>IF($A10="","",IF($L10="Cancelled","N/A",IF($P10="","Pending",IF($P10&lt;=$R10,"Yes","No"))))</x:f>
        <x:v>No</x:v>
      </x:c>
      <x:c r="U10" s="73" t="str">
        <x:f>IF($A10="","",IF($L10="Cancelled","N/A",IF($K10="","Pending",IF($Q10&lt;=$S10,"Yes","No"))))</x:f>
        <x:v>Yes</x:v>
      </x:c>
      <x:c r="V10" s="73" t="str">
        <x:f>IF($A10="","",IF(OR($L10="Completed",$L10="Cancelled"),"No",IF('Dashboard'!$B$3&gt;$J10,"Yes","No")))</x:f>
        <x:v>No</x:v>
      </x:c>
      <x:c r="W10" s="69" t="n">
        <x:v>46161.5375</x:v>
      </x:c>
      <x:c r="X10" s="72" t="n">
        <x:f>IF(OR($A10="",$W10=""),"",ROUND(($W10-$H10)*24,1))</x:f>
        <x:v>3.4</x:v>
      </x:c>
      <x:c r="Y10" s="26" t="str">
        <x:v>No</x:v>
      </x:c>
      <x:c r="Z10" s="75" t="str">
        <x:v>Refrigerator thermostat replaced; temperature confirmed next morning.</x:v>
      </x:c>
    </x:row>
    <x:row r="11" ht="27" customHeight="1">
      <x:c r="A11" s="26" t="str">
        <x:v>MR-26007</x:v>
      </x:c>
      <x:c r="B11" s="74" t="str">
        <x:v>Amina Brooks</x:v>
      </x:c>
      <x:c r="C11" s="74" t="str">
        <x:v>C-202</x:v>
      </x:c>
      <x:c r="D11" s="74" t="str">
        <x:v>Pest Control</x:v>
      </x:c>
      <x:c r="E11" s="74" t="str">
        <x:v>P4 Low / Planned</x:v>
      </x:c>
      <x:c r="F11" s="74" t="str">
        <x:v>Tessa Nguyen</x:v>
      </x:c>
      <x:c r="G11" s="74" t="str">
        <x:v>Pacific Pest Solutions</x:v>
      </x:c>
      <x:c r="H11" s="69" t="n">
        <x:v>46165.666666666664</x:v>
      </x:c>
      <x:c r="I11" s="69" t="n">
        <x:v>46165.958333333336</x:v>
      </x:c>
      <x:c r="J11" s="69" t="n">
        <x:f>IF($A11="","",$H11+$S11/24)</x:f>
        <x:v>46175.666666666664</x:v>
      </x:c>
      <x:c r="K11" s="69" t="n">
        <x:v>46169.666666666664</x:v>
      </x:c>
      <x:c r="L11" s="26" t="str">
        <x:v>Completed</x:v>
      </x:c>
      <x:c r="M11" s="70" t="n">
        <x:v>95</x:v>
      </x:c>
      <x:c r="N11" s="71" t="n">
        <x:v>4</x:v>
      </x:c>
      <x:c r="O11" s="72" t="n">
        <x:f>IF($A11="","",MAX(0,IF($K11&lt;&gt;"",$K11-$H11,'Dashboard'!$B$3-$H11)) )</x:f>
        <x:v>4</x:v>
      </x:c>
      <x:c r="P11" s="72" t="n">
        <x:f>IF(OR($A11="",$I11=""),"",ROUND(($I11-$H11)*24,1))</x:f>
        <x:v>7</x:v>
      </x:c>
      <x:c r="Q11" s="72" t="n">
        <x:f>IF(OR($A11="",$K11=""),"",ROUND(($K11-$H11)*24,1))</x:f>
        <x:v>96</x:v>
      </x:c>
      <x:c r="R11" s="72" t="n">
        <x:f>IF($A11="","",IFERROR(VLOOKUP($E11,'Lists &amp; SLA'!$A$5:$C$8,2,FALSE),""))</x:f>
        <x:v>8</x:v>
      </x:c>
      <x:c r="S11" s="72" t="n">
        <x:f>IF($A11="","",IFERROR(VLOOKUP($E11,'Lists &amp; SLA'!$A$5:$C$8,3,FALSE),""))</x:f>
        <x:v>240</x:v>
      </x:c>
      <x:c r="T11" s="73" t="str">
        <x:f>IF($A11="","",IF($L11="Cancelled","N/A",IF($P11="","Pending",IF($P11&lt;=$R11,"Yes","No"))))</x:f>
        <x:v>Yes</x:v>
      </x:c>
      <x:c r="U11" s="73" t="str">
        <x:f>IF($A11="","",IF($L11="Cancelled","N/A",IF($K11="","Pending",IF($Q11&lt;=$S11,"Yes","No"))))</x:f>
        <x:v>Yes</x:v>
      </x:c>
      <x:c r="V11" s="73" t="str">
        <x:f>IF($A11="","",IF(OR($L11="Completed",$L11="Cancelled"),"No",IF('Dashboard'!$B$3&gt;$J11,"Yes","No")))</x:f>
        <x:v>No</x:v>
      </x:c>
      <x:c r="W11" s="69" t="n">
        <x:v>46166.458333333336</x:v>
      </x:c>
      <x:c r="X11" s="72" t="n">
        <x:f>IF(OR($A11="",$W11=""),"",ROUND(($W11-$H11)*24,1))</x:f>
        <x:v>19</x:v>
      </x:c>
      <x:c r="Y11" s="26" t="str">
        <x:v>Yes</x:v>
      </x:c>
      <x:c r="Z11" s="75" t="str">
        <x:v>Targeted ant treatment completed with resident preparation instructions.</x:v>
      </x:c>
    </x:row>
    <x:row r="12" ht="27" customHeight="1">
      <x:c r="A12" s="26" t="str">
        <x:v>MR-26008</x:v>
      </x:c>
      <x:c r="B12" s="74" t="str">
        <x:v>Carlos Mendoza</x:v>
      </x:c>
      <x:c r="C12" s="74" t="str">
        <x:v>B-301</x:v>
      </x:c>
      <x:c r="D12" s="74" t="str">
        <x:v>Plumbing</x:v>
      </x:c>
      <x:c r="E12" s="74" t="str">
        <x:v>P1 Emergency</x:v>
      </x:c>
      <x:c r="F12" s="74" t="str">
        <x:v>Luis Hernandez</x:v>
      </x:c>
      <x:c r="G12" s="74" t="str">
        <x:v>Coastal Plumbing Services</x:v>
      </x:c>
      <x:c r="H12" s="69" t="n">
        <x:v>46168.27777777778</x:v>
      </x:c>
      <x:c r="I12" s="69" t="n">
        <x:v>46168.28611111111</x:v>
      </x:c>
      <x:c r="J12" s="69" t="n">
        <x:f>IF($A12="","",$H12+$S12/24)</x:f>
        <x:v>46168.444444444445</x:v>
      </x:c>
      <x:c r="K12" s="69" t="n">
        <x:v>46168.46527777778</x:v>
      </x:c>
      <x:c r="L12" s="26" t="str">
        <x:v>Completed</x:v>
      </x:c>
      <x:c r="M12" s="70" t="n">
        <x:v>1180</x:v>
      </x:c>
      <x:c r="N12" s="71" t="n">
        <x:v>4</x:v>
      </x:c>
      <x:c r="O12" s="72" t="n">
        <x:f>IF($A12="","",MAX(0,IF($K12&lt;&gt;"",$K12-$H12,'Dashboard'!$B$3-$H12)) )</x:f>
        <x:v>0.1875</x:v>
      </x:c>
      <x:c r="P12" s="72" t="n">
        <x:f>IF(OR($A12="",$I12=""),"",ROUND(($I12-$H12)*24,1))</x:f>
        <x:v>0.2</x:v>
      </x:c>
      <x:c r="Q12" s="72" t="n">
        <x:f>IF(OR($A12="",$K12=""),"",ROUND(($K12-$H12)*24,1))</x:f>
        <x:v>4.5</x:v>
      </x:c>
      <x:c r="R12" s="72" t="n">
        <x:f>IF($A12="","",IFERROR(VLOOKUP($E12,'Lists &amp; SLA'!$A$5:$C$8,2,FALSE),""))</x:f>
        <x:v>0.0833</x:v>
      </x:c>
      <x:c r="S12" s="72" t="n">
        <x:f>IF($A12="","",IFERROR(VLOOKUP($E12,'Lists &amp; SLA'!$A$5:$C$8,3,FALSE),""))</x:f>
        <x:v>4</x:v>
      </x:c>
      <x:c r="T12" s="73" t="str">
        <x:f>IF($A12="","",IF($L12="Cancelled","N/A",IF($P12="","Pending",IF($P12&lt;=$R12,"Yes","No"))))</x:f>
        <x:v>No</x:v>
      </x:c>
      <x:c r="U12" s="73" t="str">
        <x:f>IF($A12="","",IF($L12="Cancelled","N/A",IF($K12="","Pending",IF($Q12&lt;=$S12,"Yes","No"))))</x:f>
        <x:v>No</x:v>
      </x:c>
      <x:c r="V12" s="73" t="str">
        <x:f>IF($A12="","",IF(OR($L12="Completed",$L12="Cancelled"),"No",IF('Dashboard'!$B$3&gt;$J12,"Yes","No")))</x:f>
        <x:v>No</x:v>
      </x:c>
      <x:c r="W12" s="69" t="n">
        <x:v>46168.30486111111</x:v>
      </x:c>
      <x:c r="X12" s="72" t="n">
        <x:f>IF(OR($A12="",$W12=""),"",ROUND(($W12-$H12)*24,1))</x:f>
        <x:v>0.6</x:v>
      </x:c>
      <x:c r="Y12" s="26" t="str">
        <x:v>No</x:v>
      </x:c>
      <x:c r="Z12" s="75" t="str">
        <x:v>Building B hot-water circulation pump replaced; completion exceeded target by 30 minutes.</x:v>
      </x:c>
    </x:row>
    <x:row r="13" ht="27" customHeight="1">
      <x:c r="A13" s="26" t="str">
        <x:v>MR-26009</x:v>
      </x:c>
      <x:c r="B13" s="74" t="str">
        <x:v>Naomi Chen</x:v>
      </x:c>
      <x:c r="C13" s="74" t="str">
        <x:v>D-219</x:v>
      </x:c>
      <x:c r="D13" s="74" t="str">
        <x:v>General Repair</x:v>
      </x:c>
      <x:c r="E13" s="74" t="str">
        <x:v>P4 Low / Planned</x:v>
      </x:c>
      <x:c r="F13" s="74" t="str">
        <x:v>Andre Collins</x:v>
      </x:c>
      <x:c r="G13" s="74" t="str">
        <x:v>In-House</x:v>
      </x:c>
      <x:c r="H13" s="69" t="n">
        <x:v>46171.46875</x:v>
      </x:c>
      <x:c r="I13" s="69" t="n">
        <x:v>46171.510416666664</x:v>
      </x:c>
      <x:c r="J13" s="69" t="n">
        <x:f>IF($A13="","",$H13+$S13/24)</x:f>
        <x:v>46181.46875</x:v>
      </x:c>
      <x:c r="K13" s="69"/>
      <x:c r="L13" s="26" t="str">
        <x:v>Cancelled</x:v>
      </x:c>
      <x:c r="M13" s="70" t="n">
        <x:v>0</x:v>
      </x:c>
      <x:c r="N13" s="71"/>
      <x:c r="O13" s="72" t="n">
        <x:f>IF($A13="","",MAX(0,IF($K13&lt;&gt;"",$K13-$H13,'Dashboard'!$B$3-$H13)) )</x:f>
        <x:v>67.23958333333576</x:v>
      </x:c>
      <x:c r="P13" s="72" t="n">
        <x:f>IF(OR($A13="",$I13=""),"",ROUND(($I13-$H13)*24,1))</x:f>
        <x:v>1</x:v>
      </x:c>
      <x:c r="Q13" s="72" t="str">
        <x:f>IF(OR($A13="",$K13=""),"",ROUND(($K13-$H13)*24,1))</x:f>
      </x:c>
      <x:c r="R13" s="72" t="n">
        <x:f>IF($A13="","",IFERROR(VLOOKUP($E13,'Lists &amp; SLA'!$A$5:$C$8,2,FALSE),""))</x:f>
        <x:v>8</x:v>
      </x:c>
      <x:c r="S13" s="72" t="n">
        <x:f>IF($A13="","",IFERROR(VLOOKUP($E13,'Lists &amp; SLA'!$A$5:$C$8,3,FALSE),""))</x:f>
        <x:v>240</x:v>
      </x:c>
      <x:c r="T13" s="73" t="str">
        <x:f>IF($A13="","",IF($L13="Cancelled","N/A",IF($P13="","Pending",IF($P13&lt;=$R13,"Yes","No"))))</x:f>
        <x:v>N/A</x:v>
      </x:c>
      <x:c r="U13" s="73" t="str">
        <x:f>IF($A13="","",IF($L13="Cancelled","N/A",IF($K13="","Pending",IF($Q13&lt;=$S13,"Yes","No"))))</x:f>
        <x:v>N/A</x:v>
      </x:c>
      <x:c r="V13" s="73" t="str">
        <x:f>IF($A13="","",IF(OR($L13="Completed",$L13="Cancelled"),"No",IF('Dashboard'!$B$3&gt;$J13,"Yes","No")))</x:f>
        <x:v>No</x:v>
      </x:c>
      <x:c r="W13" s="69"/>
      <x:c r="X13" s="72" t="str">
        <x:f>IF(OR($A13="",$W13=""),"",ROUND(($W13-$H13)*24,1))</x:f>
      </x:c>
      <x:c r="Y13" s="26" t="str">
        <x:v>N/A</x:v>
      </x:c>
      <x:c r="Z13" s="75" t="str">
        <x:v>Resident withdrew request after adjusting the closet door track.</x:v>
      </x:c>
    </x:row>
    <x:row r="14" ht="27" customHeight="1">
      <x:c r="A14" s="26" t="str">
        <x:v>MR-26010</x:v>
      </x:c>
      <x:c r="B14" s="74" t="str">
        <x:v>Ethan Wallace</x:v>
      </x:c>
      <x:c r="C14" s="74" t="str">
        <x:v>A-330</x:v>
      </x:c>
      <x:c r="D14" s="74" t="str">
        <x:v>Safety / Security</x:v>
      </x:c>
      <x:c r="E14" s="74" t="str">
        <x:v>P3 Routine</x:v>
      </x:c>
      <x:c r="F14" s="74" t="str">
        <x:v>Tessa Nguyen</x:v>
      </x:c>
      <x:c r="G14" s="74" t="str">
        <x:v>SecureAccess Locksmith</x:v>
      </x:c>
      <x:c r="H14" s="69" t="n">
        <x:v>46174.368055555555</x:v>
      </x:c>
      <x:c r="I14" s="69" t="n">
        <x:v>46174.493055555555</x:v>
      </x:c>
      <x:c r="J14" s="69" t="n">
        <x:f>IF($A14="","",$H14+$S14/24)</x:f>
        <x:v>46177.368055555555</x:v>
      </x:c>
      <x:c r="K14" s="69" t="n">
        <x:v>46175.20138888889</x:v>
      </x:c>
      <x:c r="L14" s="26" t="str">
        <x:v>Completed</x:v>
      </x:c>
      <x:c r="M14" s="70" t="n">
        <x:v>135</x:v>
      </x:c>
      <x:c r="N14" s="71" t="n">
        <x:v>4</x:v>
      </x:c>
      <x:c r="O14" s="72" t="n">
        <x:f>IF($A14="","",MAX(0,IF($K14&lt;&gt;"",$K14-$H14,'Dashboard'!$B$3-$H14)) )</x:f>
        <x:v>0.8333333333357587</x:v>
      </x:c>
      <x:c r="P14" s="72" t="n">
        <x:f>IF(OR($A14="",$I14=""),"",ROUND(($I14-$H14)*24,1))</x:f>
        <x:v>3</x:v>
      </x:c>
      <x:c r="Q14" s="72" t="n">
        <x:f>IF(OR($A14="",$K14=""),"",ROUND(($K14-$H14)*24,1))</x:f>
        <x:v>20</x:v>
      </x:c>
      <x:c r="R14" s="72" t="n">
        <x:f>IF($A14="","",IFERROR(VLOOKUP($E14,'Lists &amp; SLA'!$A$5:$C$8,2,FALSE),""))</x:f>
        <x:v>2</x:v>
      </x:c>
      <x:c r="S14" s="72" t="n">
        <x:f>IF($A14="","",IFERROR(VLOOKUP($E14,'Lists &amp; SLA'!$A$5:$C$8,3,FALSE),""))</x:f>
        <x:v>72</x:v>
      </x:c>
      <x:c r="T14" s="73" t="str">
        <x:f>IF($A14="","",IF($L14="Cancelled","N/A",IF($P14="","Pending",IF($P14&lt;=$R14,"Yes","No"))))</x:f>
        <x:v>No</x:v>
      </x:c>
      <x:c r="U14" s="73" t="str">
        <x:f>IF($A14="","",IF($L14="Cancelled","N/A",IF($K14="","Pending",IF($Q14&lt;=$S14,"Yes","No"))))</x:f>
        <x:v>Yes</x:v>
      </x:c>
      <x:c r="V14" s="73" t="str">
        <x:f>IF($A14="","",IF(OR($L14="Completed",$L14="Cancelled"),"No",IF('Dashboard'!$B$3&gt;$J14,"Yes","No")))</x:f>
        <x:v>No</x:v>
      </x:c>
      <x:c r="W14" s="69" t="n">
        <x:v>46174.70138888889</x:v>
      </x:c>
      <x:c r="X14" s="72" t="n">
        <x:f>IF(OR($A14="",$W14=""),"",ROUND(($W14-$H14)*24,1))</x:f>
        <x:v>8</x:v>
      </x:c>
      <x:c r="Y14" s="26" t="str">
        <x:v>Yes</x:v>
      </x:c>
      <x:c r="Z14" s="75" t="str">
        <x:v>Parking gate remote reprogrammed and access tested.</x:v>
      </x:c>
    </x:row>
    <x:row r="15" ht="27" customHeight="1">
      <x:c r="A15" s="26" t="str">
        <x:v>MR-26011</x:v>
      </x:c>
      <x:c r="B15" s="74" t="str">
        <x:v>Olivia Martin</x:v>
      </x:c>
      <x:c r="C15" s="74" t="str">
        <x:v>C-411</x:v>
      </x:c>
      <x:c r="D15" s="74" t="str">
        <x:v>Exterior / Common Area</x:v>
      </x:c>
      <x:c r="E15" s="74" t="str">
        <x:v>P2 Urgent</x:v>
      </x:c>
      <x:c r="F15" s="74" t="str">
        <x:v>Tessa Nguyen</x:v>
      </x:c>
      <x:c r="G15" s="74" t="str">
        <x:v>Apex Restoration</x:v>
      </x:c>
      <x:c r="H15" s="69" t="n">
        <x:v>46176.54513888889</x:v>
      </x:c>
      <x:c r="I15" s="69" t="n">
        <x:v>46176.57847222222</x:v>
      </x:c>
      <x:c r="J15" s="69" t="n">
        <x:f>IF($A15="","",$H15+$S15/24)</x:f>
        <x:v>46177.54513888889</x:v>
      </x:c>
      <x:c r="K15" s="69" t="n">
        <x:v>46177.336805555555</x:v>
      </x:c>
      <x:c r="L15" s="26" t="str">
        <x:v>Completed</x:v>
      </x:c>
      <x:c r="M15" s="70" t="n">
        <x:v>420</x:v>
      </x:c>
      <x:c r="N15" s="71" t="n">
        <x:v>4</x:v>
      </x:c>
      <x:c r="O15" s="72" t="n">
        <x:f>IF($A15="","",MAX(0,IF($K15&lt;&gt;"",$K15-$H15,'Dashboard'!$B$3-$H15)) )</x:f>
        <x:v>0.7916666666642413</x:v>
      </x:c>
      <x:c r="P15" s="72" t="n">
        <x:f>IF(OR($A15="",$I15=""),"",ROUND(($I15-$H15)*24,1))</x:f>
        <x:v>0.8</x:v>
      </x:c>
      <x:c r="Q15" s="72" t="n">
        <x:f>IF(OR($A15="",$K15=""),"",ROUND(($K15-$H15)*24,1))</x:f>
        <x:v>19</x:v>
      </x:c>
      <x:c r="R15" s="72" t="n">
        <x:f>IF($A15="","",IFERROR(VLOOKUP($E15,'Lists &amp; SLA'!$A$5:$C$8,2,FALSE),""))</x:f>
        <x:v>0.5</x:v>
      </x:c>
      <x:c r="S15" s="72" t="n">
        <x:f>IF($A15="","",IFERROR(VLOOKUP($E15,'Lists &amp; SLA'!$A$5:$C$8,3,FALSE),""))</x:f>
        <x:v>24</x:v>
      </x:c>
      <x:c r="T15" s="73" t="str">
        <x:f>IF($A15="","",IF($L15="Cancelled","N/A",IF($P15="","Pending",IF($P15&lt;=$R15,"Yes","No"))))</x:f>
        <x:v>No</x:v>
      </x:c>
      <x:c r="U15" s="73" t="str">
        <x:f>IF($A15="","",IF($L15="Cancelled","N/A",IF($K15="","Pending",IF($Q15&lt;=$S15,"Yes","No"))))</x:f>
        <x:v>Yes</x:v>
      </x:c>
      <x:c r="V15" s="73" t="str">
        <x:f>IF($A15="","",IF(OR($L15="Completed",$L15="Cancelled"),"No",IF('Dashboard'!$B$3&gt;$J15,"Yes","No")))</x:f>
        <x:v>No</x:v>
      </x:c>
      <x:c r="W15" s="69" t="n">
        <x:v>46176.66180555556</x:v>
      </x:c>
      <x:c r="X15" s="72" t="n">
        <x:f>IF(OR($A15="",$W15=""),"",ROUND(($W15-$H15)*24,1))</x:f>
        <x:v>2.8</x:v>
      </x:c>
      <x:c r="Y15" s="26" t="str">
        <x:v>Yes</x:v>
      </x:c>
      <x:c r="Z15" s="75" t="str">
        <x:v>Roof flashing sealed and stained ceiling area moisture-tested.</x:v>
      </x:c>
    </x:row>
    <x:row r="16" ht="27" customHeight="1">
      <x:c r="A16" s="26" t="str">
        <x:v>MR-26012</x:v>
      </x:c>
      <x:c r="B16" s="74" t="str">
        <x:v>Jamal Price</x:v>
      </x:c>
      <x:c r="C16" s="74" t="str">
        <x:v>B-207</x:v>
      </x:c>
      <x:c r="D16" s="74" t="str">
        <x:v>Appliance</x:v>
      </x:c>
      <x:c r="E16" s="74" t="str">
        <x:v>P3 Routine</x:v>
      </x:c>
      <x:c r="F16" s="74" t="str">
        <x:v>Andre Collins</x:v>
      </x:c>
      <x:c r="G16" s="74" t="str">
        <x:v>In-House</x:v>
      </x:c>
      <x:c r="H16" s="69" t="n">
        <x:v>46178.72222222222</x:v>
      </x:c>
      <x:c r="I16" s="69" t="n">
        <x:v>46178.95138888889</x:v>
      </x:c>
      <x:c r="J16" s="69" t="n">
        <x:f>IF($A16="","",$H16+$S16/24)</x:f>
        <x:v>46181.72222222222</x:v>
      </x:c>
      <x:c r="K16" s="69" t="n">
        <x:v>46181.13888888889</x:v>
      </x:c>
      <x:c r="L16" s="26" t="str">
        <x:v>Completed</x:v>
      </x:c>
      <x:c r="M16" s="70" t="n">
        <x:v>88</x:v>
      </x:c>
      <x:c r="N16" s="71" t="n">
        <x:v>4</x:v>
      </x:c>
      <x:c r="O16" s="72" t="n">
        <x:f>IF($A16="","",MAX(0,IF($K16&lt;&gt;"",$K16-$H16,'Dashboard'!$B$3-$H16)) )</x:f>
        <x:v>2.4166666666715173</x:v>
      </x:c>
      <x:c r="P16" s="72" t="n">
        <x:f>IF(OR($A16="",$I16=""),"",ROUND(($I16-$H16)*24,1))</x:f>
        <x:v>5.5</x:v>
      </x:c>
      <x:c r="Q16" s="72" t="n">
        <x:f>IF(OR($A16="",$K16=""),"",ROUND(($K16-$H16)*24,1))</x:f>
        <x:v>58</x:v>
      </x:c>
      <x:c r="R16" s="72" t="n">
        <x:f>IF($A16="","",IFERROR(VLOOKUP($E16,'Lists &amp; SLA'!$A$5:$C$8,2,FALSE),""))</x:f>
        <x:v>2</x:v>
      </x:c>
      <x:c r="S16" s="72" t="n">
        <x:f>IF($A16="","",IFERROR(VLOOKUP($E16,'Lists &amp; SLA'!$A$5:$C$8,3,FALSE),""))</x:f>
        <x:v>72</x:v>
      </x:c>
      <x:c r="T16" s="73" t="str">
        <x:f>IF($A16="","",IF($L16="Cancelled","N/A",IF($P16="","Pending",IF($P16&lt;=$R16,"Yes","No"))))</x:f>
        <x:v>No</x:v>
      </x:c>
      <x:c r="U16" s="73" t="str">
        <x:f>IF($A16="","",IF($L16="Cancelled","N/A",IF($K16="","Pending",IF($Q16&lt;=$S16,"Yes","No"))))</x:f>
        <x:v>Yes</x:v>
      </x:c>
      <x:c r="V16" s="73" t="str">
        <x:f>IF($A16="","",IF(OR($L16="Completed",$L16="Cancelled"),"No",IF('Dashboard'!$B$3&gt;$J16,"Yes","No")))</x:f>
        <x:v>No</x:v>
      </x:c>
      <x:c r="W16" s="69" t="n">
        <x:v>46179.15972222222</x:v>
      </x:c>
      <x:c r="X16" s="72" t="n">
        <x:f>IF(OR($A16="",$W16=""),"",ROUND(($W16-$H16)*24,1))</x:f>
        <x:v>10.5</x:v>
      </x:c>
      <x:c r="Y16" s="26" t="str">
        <x:v>No</x:v>
      </x:c>
      <x:c r="Z16" s="75" t="str">
        <x:v>Dryer heating element replaced; delayed response noted for coaching.</x:v>
      </x:c>
    </x:row>
    <x:row r="17" ht="27" customHeight="1">
      <x:c r="A17" s="26" t="str">
        <x:v>MR-26013</x:v>
      </x:c>
      <x:c r="B17" s="74" t="str">
        <x:v>Grace Park</x:v>
      </x:c>
      <x:c r="C17" s="74" t="str">
        <x:v>D-101</x:v>
      </x:c>
      <x:c r="D17" s="74" t="str">
        <x:v>Safety / Security</x:v>
      </x:c>
      <x:c r="E17" s="74" t="str">
        <x:v>P2 Urgent</x:v>
      </x:c>
      <x:c r="F17" s="74" t="str">
        <x:v>Andre Collins</x:v>
      </x:c>
      <x:c r="G17" s="74" t="str">
        <x:v>In-House</x:v>
      </x:c>
      <x:c r="H17" s="69" t="n">
        <x:v>46181.385416666664</x:v>
      </x:c>
      <x:c r="I17" s="69" t="n">
        <x:v>46181.410416666666</x:v>
      </x:c>
      <x:c r="J17" s="69" t="n">
        <x:f>IF($A17="","",$H17+$S17/24)</x:f>
        <x:v>46182.385416666664</x:v>
      </x:c>
      <x:c r="K17" s="69" t="n">
        <x:v>46181.635416666664</x:v>
      </x:c>
      <x:c r="L17" s="26" t="str">
        <x:v>Completed</x:v>
      </x:c>
      <x:c r="M17" s="70" t="n">
        <x:v>54</x:v>
      </x:c>
      <x:c r="N17" s="71" t="n">
        <x:v>5</x:v>
      </x:c>
      <x:c r="O17" s="72" t="n">
        <x:f>IF($A17="","",MAX(0,IF($K17&lt;&gt;"",$K17-$H17,'Dashboard'!$B$3-$H17)) )</x:f>
        <x:v>0.25</x:v>
      </x:c>
      <x:c r="P17" s="72" t="n">
        <x:f>IF(OR($A17="",$I17=""),"",ROUND(($I17-$H17)*24,1))</x:f>
        <x:v>0.6</x:v>
      </x:c>
      <x:c r="Q17" s="72" t="n">
        <x:f>IF(OR($A17="",$K17=""),"",ROUND(($K17-$H17)*24,1))</x:f>
        <x:v>6</x:v>
      </x:c>
      <x:c r="R17" s="72" t="n">
        <x:f>IF($A17="","",IFERROR(VLOOKUP($E17,'Lists &amp; SLA'!$A$5:$C$8,2,FALSE),""))</x:f>
        <x:v>0.5</x:v>
      </x:c>
      <x:c r="S17" s="72" t="n">
        <x:f>IF($A17="","",IFERROR(VLOOKUP($E17,'Lists &amp; SLA'!$A$5:$C$8,3,FALSE),""))</x:f>
        <x:v>24</x:v>
      </x:c>
      <x:c r="T17" s="73" t="str">
        <x:f>IF($A17="","",IF($L17="Cancelled","N/A",IF($P17="","Pending",IF($P17&lt;=$R17,"Yes","No"))))</x:f>
        <x:v>No</x:v>
      </x:c>
      <x:c r="U17" s="73" t="str">
        <x:f>IF($A17="","",IF($L17="Cancelled","N/A",IF($K17="","Pending",IF($Q17&lt;=$S17,"Yes","No"))))</x:f>
        <x:v>Yes</x:v>
      </x:c>
      <x:c r="V17" s="73" t="str">
        <x:f>IF($A17="","",IF(OR($L17="Completed",$L17="Cancelled"),"No",IF('Dashboard'!$B$3&gt;$J17,"Yes","No")))</x:f>
        <x:v>No</x:v>
      </x:c>
      <x:c r="W17" s="69" t="n">
        <x:v>46181.49375</x:v>
      </x:c>
      <x:c r="X17" s="72" t="n">
        <x:f>IF(OR($A17="",$W17=""),"",ROUND(($W17-$H17)*24,1))</x:f>
        <x:v>2.6</x:v>
      </x:c>
      <x:c r="Y17" s="26" t="str">
        <x:v>Yes</x:v>
      </x:c>
      <x:c r="Z17" s="75" t="str">
        <x:v>Loose stairwell handrail anchored and load-tested.</x:v>
      </x:c>
    </x:row>
    <x:row r="18" ht="27" customHeight="1">
      <x:c r="A18" s="26" t="str">
        <x:v>MR-26014</x:v>
      </x:c>
      <x:c r="B18" s="74" t="str">
        <x:v>Mateo Silva</x:v>
      </x:c>
      <x:c r="C18" s="74" t="str">
        <x:v>A-214</x:v>
      </x:c>
      <x:c r="D18" s="74" t="str">
        <x:v>Plumbing</x:v>
      </x:c>
      <x:c r="E18" s="74" t="str">
        <x:v>P2 Urgent</x:v>
      </x:c>
      <x:c r="F18" s="74" t="str">
        <x:v>Luis Hernandez</x:v>
      </x:c>
      <x:c r="G18" s="74" t="str">
        <x:v>Coastal Plumbing Services</x:v>
      </x:c>
      <x:c r="H18" s="69" t="n">
        <x:v>46184.32986111111</x:v>
      </x:c>
      <x:c r="I18" s="69" t="n">
        <x:v>46184.350694444445</x:v>
      </x:c>
      <x:c r="J18" s="69" t="n">
        <x:f>IF($A18="","",$H18+$S18/24)</x:f>
        <x:v>46185.32986111111</x:v>
      </x:c>
      <x:c r="K18" s="69" t="n">
        <x:v>46184.82986111111</x:v>
      </x:c>
      <x:c r="L18" s="26" t="str">
        <x:v>Completed</x:v>
      </x:c>
      <x:c r="M18" s="70" t="n">
        <x:v>235</x:v>
      </x:c>
      <x:c r="N18" s="71" t="n">
        <x:v>5</x:v>
      </x:c>
      <x:c r="O18" s="72" t="n">
        <x:f>IF($A18="","",MAX(0,IF($K18&lt;&gt;"",$K18-$H18,'Dashboard'!$B$3-$H18)) )</x:f>
        <x:v>0.5</x:v>
      </x:c>
      <x:c r="P18" s="72" t="n">
        <x:f>IF(OR($A18="",$I18=""),"",ROUND(($I18-$H18)*24,1))</x:f>
        <x:v>0.5</x:v>
      </x:c>
      <x:c r="Q18" s="72" t="n">
        <x:f>IF(OR($A18="",$K18=""),"",ROUND(($K18-$H18)*24,1))</x:f>
        <x:v>12</x:v>
      </x:c>
      <x:c r="R18" s="72" t="n">
        <x:f>IF($A18="","",IFERROR(VLOOKUP($E18,'Lists &amp; SLA'!$A$5:$C$8,2,FALSE),""))</x:f>
        <x:v>0.5</x:v>
      </x:c>
      <x:c r="S18" s="72" t="n">
        <x:f>IF($A18="","",IFERROR(VLOOKUP($E18,'Lists &amp; SLA'!$A$5:$C$8,3,FALSE),""))</x:f>
        <x:v>24</x:v>
      </x:c>
      <x:c r="T18" s="73" t="str">
        <x:f>IF($A18="","",IF($L18="Cancelled","N/A",IF($P18="","Pending",IF($P18&lt;=$R18,"Yes","No"))))</x:f>
        <x:v>Yes</x:v>
      </x:c>
      <x:c r="U18" s="73" t="str">
        <x:f>IF($A18="","",IF($L18="Cancelled","N/A",IF($K18="","Pending",IF($Q18&lt;=$S18,"Yes","No"))))</x:f>
        <x:v>Yes</x:v>
      </x:c>
      <x:c r="V18" s="73" t="str">
        <x:f>IF($A18="","",IF(OR($L18="Completed",$L18="Cancelled"),"No",IF('Dashboard'!$B$3&gt;$J18,"Yes","No")))</x:f>
        <x:v>No</x:v>
      </x:c>
      <x:c r="W18" s="69" t="n">
        <x:v>46184.43402777778</x:v>
      </x:c>
      <x:c r="X18" s="72" t="n">
        <x:f>IF(OR($A18="",$W18=""),"",ROUND(($W18-$H18)*24,1))</x:f>
        <x:v>2.5</x:v>
      </x:c>
      <x:c r="Y18" s="26" t="str">
        <x:v>Yes</x:v>
      </x:c>
      <x:c r="Z18" s="75" t="str">
        <x:v>Dishwasher drain hose replaced; floor and base cabinet checked.</x:v>
      </x:c>
    </x:row>
    <x:row r="19" ht="27" customHeight="1">
      <x:c r="A19" s="26" t="str">
        <x:v>MR-26015</x:v>
      </x:c>
      <x:c r="B19" s="74" t="str">
        <x:v>Isabella Torres</x:v>
      </x:c>
      <x:c r="C19" s="74" t="str">
        <x:v>Pool</x:v>
      </x:c>
      <x:c r="D19" s="74" t="str">
        <x:v>Electrical</x:v>
      </x:c>
      <x:c r="E19" s="74" t="str">
        <x:v>P4 Low / Planned</x:v>
      </x:c>
      <x:c r="F19" s="74" t="str">
        <x:v>Maya Patel</x:v>
      </x:c>
      <x:c r="G19" s="74" t="str">
        <x:v>Seaside Electrical</x:v>
      </x:c>
      <x:c r="H19" s="69" t="n">
        <x:v>46186.520833333336</x:v>
      </x:c>
      <x:c r="I19" s="69" t="n">
        <x:v>46186.770833333336</x:v>
      </x:c>
      <x:c r="J19" s="69" t="n">
        <x:f>IF($A19="","",$H19+$S19/24)</x:f>
        <x:v>46196.520833333336</x:v>
      </x:c>
      <x:c r="K19" s="69" t="n">
        <x:v>46191.3125</x:v>
      </x:c>
      <x:c r="L19" s="26" t="str">
        <x:v>Completed</x:v>
      </x:c>
      <x:c r="M19" s="70" t="n">
        <x:v>310</x:v>
      </x:c>
      <x:c r="N19" s="71" t="n">
        <x:v>4</x:v>
      </x:c>
      <x:c r="O19" s="72" t="n">
        <x:f>IF($A19="","",MAX(0,IF($K19&lt;&gt;"",$K19-$H19,'Dashboard'!$B$3-$H19)) )</x:f>
        <x:v>4.791666666664241</x:v>
      </x:c>
      <x:c r="P19" s="72" t="n">
        <x:f>IF(OR($A19="",$I19=""),"",ROUND(($I19-$H19)*24,1))</x:f>
        <x:v>6</x:v>
      </x:c>
      <x:c r="Q19" s="72" t="n">
        <x:f>IF(OR($A19="",$K19=""),"",ROUND(($K19-$H19)*24,1))</x:f>
        <x:v>115</x:v>
      </x:c>
      <x:c r="R19" s="72" t="n">
        <x:f>IF($A19="","",IFERROR(VLOOKUP($E19,'Lists &amp; SLA'!$A$5:$C$8,2,FALSE),""))</x:f>
        <x:v>8</x:v>
      </x:c>
      <x:c r="S19" s="72" t="n">
        <x:f>IF($A19="","",IFERROR(VLOOKUP($E19,'Lists &amp; SLA'!$A$5:$C$8,3,FALSE),""))</x:f>
        <x:v>240</x:v>
      </x:c>
      <x:c r="T19" s="73" t="str">
        <x:f>IF($A19="","",IF($L19="Cancelled","N/A",IF($P19="","Pending",IF($P19&lt;=$R19,"Yes","No"))))</x:f>
        <x:v>Yes</x:v>
      </x:c>
      <x:c r="U19" s="73" t="str">
        <x:f>IF($A19="","",IF($L19="Cancelled","N/A",IF($K19="","Pending",IF($Q19&lt;=$S19,"Yes","No"))))</x:f>
        <x:v>Yes</x:v>
      </x:c>
      <x:c r="V19" s="73" t="str">
        <x:f>IF($A19="","",IF(OR($L19="Completed",$L19="Cancelled"),"No",IF('Dashboard'!$B$3&gt;$J19,"Yes","No")))</x:f>
        <x:v>No</x:v>
      </x:c>
      <x:c r="W19" s="69" t="n">
        <x:v>46187.270833333336</x:v>
      </x:c>
      <x:c r="X19" s="72" t="n">
        <x:f>IF(OR($A19="",$W19=""),"",ROUND(($W19-$H19)*24,1))</x:f>
        <x:v>18</x:v>
      </x:c>
      <x:c r="Y19" s="26" t="str">
        <x:v>No</x:v>
      </x:c>
      <x:c r="Z19" s="75" t="str">
        <x:v>Pool restroom exhaust fan motor replaced during planned vendor route.</x:v>
      </x:c>
    </x:row>
    <x:row r="20" ht="27" customHeight="1">
      <x:c r="A20" s="26" t="str">
        <x:v>MR-26016</x:v>
      </x:c>
      <x:c r="B20" s="74" t="str">
        <x:v>Noah Bennett</x:v>
      </x:c>
      <x:c r="C20" s="74" t="str">
        <x:v>C-509</x:v>
      </x:c>
      <x:c r="D20" s="74" t="str">
        <x:v>Pest Control</x:v>
      </x:c>
      <x:c r="E20" s="74" t="str">
        <x:v>P3 Routine</x:v>
      </x:c>
      <x:c r="F20" s="74" t="str">
        <x:v>Tessa Nguyen</x:v>
      </x:c>
      <x:c r="G20" s="74" t="str">
        <x:v>Pacific Pest Solutions</x:v>
      </x:c>
      <x:c r="H20" s="69" t="n">
        <x:v>46189.631944444445</x:v>
      </x:c>
      <x:c r="I20" s="69" t="n">
        <x:v>46189.73611111111</x:v>
      </x:c>
      <x:c r="J20" s="69" t="n">
        <x:f>IF($A20="","",$H20+$S20/24)</x:f>
        <x:v>46192.631944444445</x:v>
      </x:c>
      <x:c r="K20" s="69" t="n">
        <x:v>46190.71527777778</x:v>
      </x:c>
      <x:c r="L20" s="26" t="str">
        <x:v>Completed</x:v>
      </x:c>
      <x:c r="M20" s="70" t="n">
        <x:v>145</x:v>
      </x:c>
      <x:c r="N20" s="71" t="n">
        <x:v>5</x:v>
      </x:c>
      <x:c r="O20" s="72" t="n">
        <x:f>IF($A20="","",MAX(0,IF($K20&lt;&gt;"",$K20-$H20,'Dashboard'!$B$3-$H20)) )</x:f>
        <x:v>1.0833333333357587</x:v>
      </x:c>
      <x:c r="P20" s="72" t="n">
        <x:f>IF(OR($A20="",$I20=""),"",ROUND(($I20-$H20)*24,1))</x:f>
        <x:v>2.5</x:v>
      </x:c>
      <x:c r="Q20" s="72" t="n">
        <x:f>IF(OR($A20="",$K20=""),"",ROUND(($K20-$H20)*24,1))</x:f>
        <x:v>26</x:v>
      </x:c>
      <x:c r="R20" s="72" t="n">
        <x:f>IF($A20="","",IFERROR(VLOOKUP($E20,'Lists &amp; SLA'!$A$5:$C$8,2,FALSE),""))</x:f>
        <x:v>2</x:v>
      </x:c>
      <x:c r="S20" s="72" t="n">
        <x:f>IF($A20="","",IFERROR(VLOOKUP($E20,'Lists &amp; SLA'!$A$5:$C$8,3,FALSE),""))</x:f>
        <x:v>72</x:v>
      </x:c>
      <x:c r="T20" s="73" t="str">
        <x:f>IF($A20="","",IF($L20="Cancelled","N/A",IF($P20="","Pending",IF($P20&lt;=$R20,"Yes","No"))))</x:f>
        <x:v>No</x:v>
      </x:c>
      <x:c r="U20" s="73" t="str">
        <x:f>IF($A20="","",IF($L20="Cancelled","N/A",IF($K20="","Pending",IF($Q20&lt;=$S20,"Yes","No"))))</x:f>
        <x:v>Yes</x:v>
      </x:c>
      <x:c r="V20" s="73" t="str">
        <x:f>IF($A20="","",IF(OR($L20="Completed",$L20="Cancelled"),"No",IF('Dashboard'!$B$3&gt;$J20,"Yes","No")))</x:f>
        <x:v>No</x:v>
      </x:c>
      <x:c r="W20" s="69" t="n">
        <x:v>46189.944444444445</x:v>
      </x:c>
      <x:c r="X20" s="72" t="n">
        <x:f>IF(OR($A20="",$W20=""),"",ROUND(($W20-$H20)*24,1))</x:f>
        <x:v>7.5</x:v>
      </x:c>
      <x:c r="Y20" s="26" t="str">
        <x:v>Yes</x:v>
      </x:c>
      <x:c r="Z20" s="75" t="str">
        <x:v>Balcony wasp nest removed; adjacent balconies inspected.</x:v>
      </x:c>
    </x:row>
    <x:row r="21" ht="27" customHeight="1">
      <x:c r="A21" s="26" t="str">
        <x:v>MR-26017</x:v>
      </x:c>
      <x:c r="B21" s="74" t="str">
        <x:v>Maya Johnson</x:v>
      </x:c>
      <x:c r="C21" s="74" t="str">
        <x:v>Lobby</x:v>
      </x:c>
      <x:c r="D21" s="74" t="str">
        <x:v>Safety / Security</x:v>
      </x:c>
      <x:c r="E21" s="74" t="str">
        <x:v>P1 Emergency</x:v>
      </x:c>
      <x:c r="F21" s="74" t="str">
        <x:v>Tessa Nguyen</x:v>
      </x:c>
      <x:c r="G21" s="74" t="str">
        <x:v>SecureAccess Locksmith</x:v>
      </x:c>
      <x:c r="H21" s="69" t="n">
        <x:v>46192.79513888889</x:v>
      </x:c>
      <x:c r="I21" s="69" t="n">
        <x:v>46192.80055555556</x:v>
      </x:c>
      <x:c r="J21" s="69" t="n">
        <x:f>IF($A21="","",$H21+$S21/24)</x:f>
        <x:v>46192.961805555555</x:v>
      </x:c>
      <x:c r="K21" s="69" t="n">
        <x:v>46192.87847222222</x:v>
      </x:c>
      <x:c r="L21" s="26" t="str">
        <x:v>Completed</x:v>
      </x:c>
      <x:c r="M21" s="70" t="n">
        <x:v>485</x:v>
      </x:c>
      <x:c r="N21" s="71" t="n">
        <x:v>5</x:v>
      </x:c>
      <x:c r="O21" s="72" t="n">
        <x:f>IF($A21="","",MAX(0,IF($K21&lt;&gt;"",$K21-$H21,'Dashboard'!$B$3-$H21)) )</x:f>
        <x:v>0.0833333333284827</x:v>
      </x:c>
      <x:c r="P21" s="72" t="n">
        <x:f>IF(OR($A21="",$I21=""),"",ROUND(($I21-$H21)*24,1))</x:f>
        <x:v>0.1</x:v>
      </x:c>
      <x:c r="Q21" s="72" t="n">
        <x:f>IF(OR($A21="",$K21=""),"",ROUND(($K21-$H21)*24,1))</x:f>
        <x:v>2</x:v>
      </x:c>
      <x:c r="R21" s="72" t="n">
        <x:f>IF($A21="","",IFERROR(VLOOKUP($E21,'Lists &amp; SLA'!$A$5:$C$8,2,FALSE),""))</x:f>
        <x:v>0.0833</x:v>
      </x:c>
      <x:c r="S21" s="72" t="n">
        <x:f>IF($A21="","",IFERROR(VLOOKUP($E21,'Lists &amp; SLA'!$A$5:$C$8,3,FALSE),""))</x:f>
        <x:v>4</x:v>
      </x:c>
      <x:c r="T21" s="73" t="str">
        <x:f>IF($A21="","",IF($L21="Cancelled","N/A",IF($P21="","Pending",IF($P21&lt;=$R21,"Yes","No"))))</x:f>
        <x:v>No</x:v>
      </x:c>
      <x:c r="U21" s="73" t="str">
        <x:f>IF($A21="","",IF($L21="Cancelled","N/A",IF($K21="","Pending",IF($Q21&lt;=$S21,"Yes","No"))))</x:f>
        <x:v>Yes</x:v>
      </x:c>
      <x:c r="V21" s="73" t="str">
        <x:f>IF($A21="","",IF(OR($L21="Completed",$L21="Cancelled"),"No",IF('Dashboard'!$B$3&gt;$J21,"Yes","No")))</x:f>
        <x:v>No</x:v>
      </x:c>
      <x:c r="W21" s="69" t="n">
        <x:v>46192.80972222222</x:v>
      </x:c>
      <x:c r="X21" s="72" t="n">
        <x:f>IF(OR($A21="",$W21=""),"",ROUND(($W21-$H21)*24,1))</x:f>
        <x:v>0.3</x:v>
      </x:c>
      <x:c r="Y21" s="26" t="str">
        <x:v>Yes</x:v>
      </x:c>
      <x:c r="Z21" s="75" t="str">
        <x:v>Lobby access reader reset and replacement power module installed.</x:v>
      </x:c>
    </x:row>
    <x:row r="22" ht="27" customHeight="1">
      <x:c r="A22" s="26" t="str">
        <x:v>MR-26018</x:v>
      </x:c>
      <x:c r="B22" s="74" t="str">
        <x:v>Liam Foster</x:v>
      </x:c>
      <x:c r="C22" s="74" t="str">
        <x:v>B-419</x:v>
      </x:c>
      <x:c r="D22" s="74" t="str">
        <x:v>Plumbing</x:v>
      </x:c>
      <x:c r="E22" s="74" t="str">
        <x:v>P3 Routine</x:v>
      </x:c>
      <x:c r="F22" s="74" t="str">
        <x:v>Luis Hernandez</x:v>
      </x:c>
      <x:c r="G22" s="74" t="str">
        <x:v>In-House</x:v>
      </x:c>
      <x:c r="H22" s="69" t="n">
        <x:v>46194.43402777778</x:v>
      </x:c>
      <x:c r="I22" s="69" t="n">
        <x:v>46194.55902777778</x:v>
      </x:c>
      <x:c r="J22" s="69" t="n">
        <x:f>IF($A22="","",$H22+$S22/24)</x:f>
        <x:v>46197.43402777778</x:v>
      </x:c>
      <x:c r="K22" s="69" t="n">
        <x:v>46194.725694444445</x:v>
      </x:c>
      <x:c r="L22" s="26" t="str">
        <x:v>Completed</x:v>
      </x:c>
      <x:c r="M22" s="70" t="n">
        <x:v>32</x:v>
      </x:c>
      <x:c r="N22" s="71" t="n">
        <x:v>4</x:v>
      </x:c>
      <x:c r="O22" s="72" t="n">
        <x:f>IF($A22="","",MAX(0,IF($K22&lt;&gt;"",$K22-$H22,'Dashboard'!$B$3-$H22)) )</x:f>
        <x:v>0.29166666666424135</x:v>
      </x:c>
      <x:c r="P22" s="72" t="n">
        <x:f>IF(OR($A22="",$I22=""),"",ROUND(($I22-$H22)*24,1))</x:f>
        <x:v>3</x:v>
      </x:c>
      <x:c r="Q22" s="72" t="n">
        <x:f>IF(OR($A22="",$K22=""),"",ROUND(($K22-$H22)*24,1))</x:f>
        <x:v>7</x:v>
      </x:c>
      <x:c r="R22" s="72" t="n">
        <x:f>IF($A22="","",IFERROR(VLOOKUP($E22,'Lists &amp; SLA'!$A$5:$C$8,2,FALSE),""))</x:f>
        <x:v>2</x:v>
      </x:c>
      <x:c r="S22" s="72" t="n">
        <x:f>IF($A22="","",IFERROR(VLOOKUP($E22,'Lists &amp; SLA'!$A$5:$C$8,3,FALSE),""))</x:f>
        <x:v>72</x:v>
      </x:c>
      <x:c r="T22" s="73" t="str">
        <x:f>IF($A22="","",IF($L22="Cancelled","N/A",IF($P22="","Pending",IF($P22&lt;=$R22,"Yes","No"))))</x:f>
        <x:v>No</x:v>
      </x:c>
      <x:c r="U22" s="73" t="str">
        <x:f>IF($A22="","",IF($L22="Cancelled","N/A",IF($K22="","Pending",IF($Q22&lt;=$S22,"Yes","No"))))</x:f>
        <x:v>Yes</x:v>
      </x:c>
      <x:c r="V22" s="73" t="str">
        <x:f>IF($A22="","",IF(OR($L22="Completed",$L22="Cancelled"),"No",IF('Dashboard'!$B$3&gt;$J22,"Yes","No")))</x:f>
        <x:v>No</x:v>
      </x:c>
      <x:c r="W22" s="69" t="n">
        <x:v>46194.72152777778</x:v>
      </x:c>
      <x:c r="X22" s="72" t="n">
        <x:f>IF(OR($A22="",$W22=""),"",ROUND(($W22-$H22)*24,1))</x:f>
        <x:v>6.9</x:v>
      </x:c>
      <x:c r="Y22" s="26" t="str">
        <x:v>Yes</x:v>
      </x:c>
      <x:c r="Z22" s="75" t="str">
        <x:v>Garbage disposal cleared and reset; resident received use guidance.</x:v>
      </x:c>
    </x:row>
    <x:row r="23" ht="27" customHeight="1">
      <x:c r="A23" s="26" t="str">
        <x:v>MR-26019</x:v>
      </x:c>
      <x:c r="B23" s="74" t="str">
        <x:v>Zoe Adams</x:v>
      </x:c>
      <x:c r="C23" s="74" t="str">
        <x:v>D-306</x:v>
      </x:c>
      <x:c r="D23" s="74" t="str">
        <x:v>HVAC</x:v>
      </x:c>
      <x:c r="E23" s="74" t="str">
        <x:v>P2 Urgent</x:v>
      </x:c>
      <x:c r="F23" s="74" t="str">
        <x:v>Maya Patel</x:v>
      </x:c>
      <x:c r="G23" s="74" t="str">
        <x:v>Harbor HVAC &amp; Mechanical</x:v>
      </x:c>
      <x:c r="H23" s="69" t="n">
        <x:v>46197.40277777778</x:v>
      </x:c>
      <x:c r="I23" s="69" t="n">
        <x:v>46197.44027777778</x:v>
      </x:c>
      <x:c r="J23" s="69" t="n">
        <x:f>IF($A23="","",$H23+$S23/24)</x:f>
        <x:v>46198.40277777778</x:v>
      </x:c>
      <x:c r="K23" s="69" t="n">
        <x:v>46197.819444444445</x:v>
      </x:c>
      <x:c r="L23" s="26" t="str">
        <x:v>Completed</x:v>
      </x:c>
      <x:c r="M23" s="70" t="n">
        <x:v>365</x:v>
      </x:c>
      <x:c r="N23" s="71" t="n">
        <x:v>5</x:v>
      </x:c>
      <x:c r="O23" s="72" t="n">
        <x:f>IF($A23="","",MAX(0,IF($K23&lt;&gt;"",$K23-$H23,'Dashboard'!$B$3-$H23)) )</x:f>
        <x:v>0.41666666666424135</x:v>
      </x:c>
      <x:c r="P23" s="72" t="n">
        <x:f>IF(OR($A23="",$I23=""),"",ROUND(($I23-$H23)*24,1))</x:f>
        <x:v>0.9</x:v>
      </x:c>
      <x:c r="Q23" s="72" t="n">
        <x:f>IF(OR($A23="",$K23=""),"",ROUND(($K23-$H23)*24,1))</x:f>
        <x:v>10</x:v>
      </x:c>
      <x:c r="R23" s="72" t="n">
        <x:f>IF($A23="","",IFERROR(VLOOKUP($E23,'Lists &amp; SLA'!$A$5:$C$8,2,FALSE),""))</x:f>
        <x:v>0.5</x:v>
      </x:c>
      <x:c r="S23" s="72" t="n">
        <x:f>IF($A23="","",IFERROR(VLOOKUP($E23,'Lists &amp; SLA'!$A$5:$C$8,3,FALSE),""))</x:f>
        <x:v>24</x:v>
      </x:c>
      <x:c r="T23" s="73" t="str">
        <x:f>IF($A23="","",IF($L23="Cancelled","N/A",IF($P23="","Pending",IF($P23&lt;=$R23,"Yes","No"))))</x:f>
        <x:v>No</x:v>
      </x:c>
      <x:c r="U23" s="73" t="str">
        <x:f>IF($A23="","",IF($L23="Cancelled","N/A",IF($K23="","Pending",IF($Q23&lt;=$S23,"Yes","No"))))</x:f>
        <x:v>Yes</x:v>
      </x:c>
      <x:c r="V23" s="73" t="str">
        <x:f>IF($A23="","",IF(OR($L23="Completed",$L23="Cancelled"),"No",IF('Dashboard'!$B$3&gt;$J23,"Yes","No")))</x:f>
        <x:v>No</x:v>
      </x:c>
      <x:c r="W23" s="69" t="n">
        <x:v>46197.52361111111</x:v>
      </x:c>
      <x:c r="X23" s="72" t="n">
        <x:f>IF(OR($A23="",$W23=""),"",ROUND(($W23-$H23)*24,1))</x:f>
        <x:v>2.9</x:v>
      </x:c>
      <x:c r="Y23" s="26" t="str">
        <x:v>Yes</x:v>
      </x:c>
      <x:c r="Z23" s="75" t="str">
        <x:v>Condensate drain cleared and overflow switch tested.</x:v>
      </x:c>
    </x:row>
    <x:row r="24" ht="27" customHeight="1">
      <x:c r="A24" s="26" t="str">
        <x:v>MR-26020</x:v>
      </x:c>
      <x:c r="B24" s="74" t="str">
        <x:v>Lucas Rivera</x:v>
      </x:c>
      <x:c r="C24" s="74" t="str">
        <x:v>North Walkway</x:v>
      </x:c>
      <x:c r="D24" s="74" t="str">
        <x:v>Exterior / Common Area</x:v>
      </x:c>
      <x:c r="E24" s="74" t="str">
        <x:v>P4 Low / Planned</x:v>
      </x:c>
      <x:c r="F24" s="74" t="str">
        <x:v>Andre Collins</x:v>
      </x:c>
      <x:c r="G24" s="74" t="str">
        <x:v>BrightSide Cleaning</x:v>
      </x:c>
      <x:c r="H24" s="69" t="n">
        <x:v>46200.333333333336</x:v>
      </x:c>
      <x:c r="I24" s="69" t="n">
        <x:v>46200.645833333336</x:v>
      </x:c>
      <x:c r="J24" s="69" t="n">
        <x:f>IF($A24="","",$H24+$S24/24)</x:f>
        <x:v>46210.333333333336</x:v>
      </x:c>
      <x:c r="K24" s="69" t="n">
        <x:v>46204.916666666664</x:v>
      </x:c>
      <x:c r="L24" s="26" t="str">
        <x:v>Completed</x:v>
      </x:c>
      <x:c r="M24" s="70" t="n">
        <x:v>275</x:v>
      </x:c>
      <x:c r="N24" s="71" t="n">
        <x:v>4</x:v>
      </x:c>
      <x:c r="O24" s="72" t="n">
        <x:f>IF($A24="","",MAX(0,IF($K24&lt;&gt;"",$K24-$H24,'Dashboard'!$B$3-$H24)) )</x:f>
        <x:v>4.583333333328483</x:v>
      </x:c>
      <x:c r="P24" s="72" t="n">
        <x:f>IF(OR($A24="",$I24=""),"",ROUND(($I24-$H24)*24,1))</x:f>
        <x:v>7.5</x:v>
      </x:c>
      <x:c r="Q24" s="72" t="n">
        <x:f>IF(OR($A24="",$K24=""),"",ROUND(($K24-$H24)*24,1))</x:f>
        <x:v>110</x:v>
      </x:c>
      <x:c r="R24" s="72" t="n">
        <x:f>IF($A24="","",IFERROR(VLOOKUP($E24,'Lists &amp; SLA'!$A$5:$C$8,2,FALSE),""))</x:f>
        <x:v>8</x:v>
      </x:c>
      <x:c r="S24" s="72" t="n">
        <x:f>IF($A24="","",IFERROR(VLOOKUP($E24,'Lists &amp; SLA'!$A$5:$C$8,3,FALSE),""))</x:f>
        <x:v>240</x:v>
      </x:c>
      <x:c r="T24" s="73" t="str">
        <x:f>IF($A24="","",IF($L24="Cancelled","N/A",IF($P24="","Pending",IF($P24&lt;=$R24,"Yes","No"))))</x:f>
        <x:v>Yes</x:v>
      </x:c>
      <x:c r="U24" s="73" t="str">
        <x:f>IF($A24="","",IF($L24="Cancelled","N/A",IF($K24="","Pending",IF($Q24&lt;=$S24,"Yes","No"))))</x:f>
        <x:v>Yes</x:v>
      </x:c>
      <x:c r="V24" s="73" t="str">
        <x:f>IF($A24="","",IF(OR($L24="Completed",$L24="Cancelled"),"No",IF('Dashboard'!$B$3&gt;$J24,"Yes","No")))</x:f>
        <x:v>No</x:v>
      </x:c>
      <x:c r="W24" s="69" t="n">
        <x:v>46201.145833333336</x:v>
      </x:c>
      <x:c r="X24" s="72" t="n">
        <x:f>IF(OR($A24="",$W24=""),"",ROUND(($W24-$H24)*24,1))</x:f>
        <x:v>19.5</x:v>
      </x:c>
      <x:c r="Y24" s="26" t="str">
        <x:v>Yes</x:v>
      </x:c>
      <x:c r="Z24" s="75" t="str">
        <x:v>Walkway pressure wash completed in two phases to preserve access.</x:v>
      </x:c>
    </x:row>
    <x:row r="25" ht="27" customHeight="1">
      <x:c r="A25" s="26" t="str">
        <x:v>MR-26021</x:v>
      </x:c>
      <x:c r="B25" s="74" t="str">
        <x:v>Harper Lewis</x:v>
      </x:c>
      <x:c r="C25" s="74" t="str">
        <x:v>A-405</x:v>
      </x:c>
      <x:c r="D25" s="74" t="str">
        <x:v>Electrical</x:v>
      </x:c>
      <x:c r="E25" s="74" t="str">
        <x:v>P1 Emergency</x:v>
      </x:c>
      <x:c r="F25" s="74" t="str">
        <x:v>Maya Patel</x:v>
      </x:c>
      <x:c r="G25" s="74" t="str">
        <x:v>Seaside Electrical</x:v>
      </x:c>
      <x:c r="H25" s="69" t="n">
        <x:v>46203.88888888889</x:v>
      </x:c>
      <x:c r="I25" s="69" t="n">
        <x:v>46203.90263888889</x:v>
      </x:c>
      <x:c r="J25" s="69" t="n">
        <x:f>IF($A25="","",$H25+$S25/24)</x:f>
        <x:v>46204.055555555555</x:v>
      </x:c>
      <x:c r="K25" s="69" t="n">
        <x:v>46203.961805555555</x:v>
      </x:c>
      <x:c r="L25" s="26" t="str">
        <x:v>Completed</x:v>
      </x:c>
      <x:c r="M25" s="70" t="n">
        <x:v>210</x:v>
      </x:c>
      <x:c r="N25" s="71" t="n">
        <x:v>4</x:v>
      </x:c>
      <x:c r="O25" s="72" t="n">
        <x:f>IF($A25="","",MAX(0,IF($K25&lt;&gt;"",$K25-$H25,'Dashboard'!$B$3-$H25)) )</x:f>
        <x:v>0.07291666666424135</x:v>
      </x:c>
      <x:c r="P25" s="72" t="n">
        <x:f>IF(OR($A25="",$I25=""),"",ROUND(($I25-$H25)*24,1))</x:f>
        <x:v>0.3</x:v>
      </x:c>
      <x:c r="Q25" s="72" t="n">
        <x:f>IF(OR($A25="",$K25=""),"",ROUND(($K25-$H25)*24,1))</x:f>
        <x:v>1.7</x:v>
      </x:c>
      <x:c r="R25" s="72" t="n">
        <x:f>IF($A25="","",IFERROR(VLOOKUP($E25,'Lists &amp; SLA'!$A$5:$C$8,2,FALSE),""))</x:f>
        <x:v>0.0833</x:v>
      </x:c>
      <x:c r="S25" s="72" t="n">
        <x:f>IF($A25="","",IFERROR(VLOOKUP($E25,'Lists &amp; SLA'!$A$5:$C$8,3,FALSE),""))</x:f>
        <x:v>4</x:v>
      </x:c>
      <x:c r="T25" s="73" t="str">
        <x:f>IF($A25="","",IF($L25="Cancelled","N/A",IF($P25="","Pending",IF($P25&lt;=$R25,"Yes","No"))))</x:f>
        <x:v>No</x:v>
      </x:c>
      <x:c r="U25" s="73" t="str">
        <x:f>IF($A25="","",IF($L25="Cancelled","N/A",IF($K25="","Pending",IF($Q25&lt;=$S25,"Yes","No"))))</x:f>
        <x:v>Yes</x:v>
      </x:c>
      <x:c r="V25" s="73" t="str">
        <x:f>IF($A25="","",IF(OR($L25="Completed",$L25="Cancelled"),"No",IF('Dashboard'!$B$3&gt;$J25,"Yes","No")))</x:f>
        <x:v>No</x:v>
      </x:c>
      <x:c r="W25" s="69" t="n">
        <x:v>46203.908472222225</x:v>
      </x:c>
      <x:c r="X25" s="72" t="n">
        <x:f>IF(OR($A25="",$W25=""),"",ROUND(($W25-$H25)*24,1))</x:f>
        <x:v>0.5</x:v>
      </x:c>
      <x:c r="Y25" s="26" t="str">
        <x:v>Yes</x:v>
      </x:c>
      <x:c r="Z25" s="75" t="str">
        <x:v>Arcing outlet isolated and replaced; response missed 15-minute standard.</x:v>
      </x:c>
    </x:row>
    <x:row r="26" ht="27" customHeight="1">
      <x:c r="A26" s="26" t="str">
        <x:v>MR-26022</x:v>
      </x:c>
      <x:c r="B26" s="74" t="str">
        <x:v>Henry Patel</x:v>
      </x:c>
      <x:c r="C26" s="74" t="str">
        <x:v>C-115</x:v>
      </x:c>
      <x:c r="D26" s="74" t="str">
        <x:v>Appliance</x:v>
      </x:c>
      <x:c r="E26" s="74" t="str">
        <x:v>P3 Routine</x:v>
      </x:c>
      <x:c r="F26" s="74" t="str">
        <x:v>Andre Collins</x:v>
      </x:c>
      <x:c r="G26" s="74" t="str">
        <x:v>In-House</x:v>
      </x:c>
      <x:c r="H26" s="69" t="n">
        <x:v>46205.46527777778</x:v>
      </x:c>
      <x:c r="I26" s="69" t="n">
        <x:v>46205.623611111114</x:v>
      </x:c>
      <x:c r="J26" s="69" t="n">
        <x:f>IF($A26="","",$H26+$S26/24)</x:f>
        <x:v>46208.46527777778</x:v>
      </x:c>
      <x:c r="K26" s="69" t="n">
        <x:v>46207.71527777778</x:v>
      </x:c>
      <x:c r="L26" s="26" t="str">
        <x:v>Completed</x:v>
      </x:c>
      <x:c r="M26" s="70" t="n">
        <x:v>164</x:v>
      </x:c>
      <x:c r="N26" s="71" t="n">
        <x:v>4</x:v>
      </x:c>
      <x:c r="O26" s="72" t="n">
        <x:f>IF($A26="","",MAX(0,IF($K26&lt;&gt;"",$K26-$H26,'Dashboard'!$B$3-$H26)) )</x:f>
        <x:v>2.25</x:v>
      </x:c>
      <x:c r="P26" s="72" t="n">
        <x:f>IF(OR($A26="",$I26=""),"",ROUND(($I26-$H26)*24,1))</x:f>
        <x:v>3.8</x:v>
      </x:c>
      <x:c r="Q26" s="72" t="n">
        <x:f>IF(OR($A26="",$K26=""),"",ROUND(($K26-$H26)*24,1))</x:f>
        <x:v>54</x:v>
      </x:c>
      <x:c r="R26" s="72" t="n">
        <x:f>IF($A26="","",IFERROR(VLOOKUP($E26,'Lists &amp; SLA'!$A$5:$C$8,2,FALSE),""))</x:f>
        <x:v>2</x:v>
      </x:c>
      <x:c r="S26" s="72" t="n">
        <x:f>IF($A26="","",IFERROR(VLOOKUP($E26,'Lists &amp; SLA'!$A$5:$C$8,3,FALSE),""))</x:f>
        <x:v>72</x:v>
      </x:c>
      <x:c r="T26" s="73" t="str">
        <x:f>IF($A26="","",IF($L26="Cancelled","N/A",IF($P26="","Pending",IF($P26&lt;=$R26,"Yes","No"))))</x:f>
        <x:v>No</x:v>
      </x:c>
      <x:c r="U26" s="73" t="str">
        <x:f>IF($A26="","",IF($L26="Cancelled","N/A",IF($K26="","Pending",IF($Q26&lt;=$S26,"Yes","No"))))</x:f>
        <x:v>Yes</x:v>
      </x:c>
      <x:c r="V26" s="73" t="str">
        <x:f>IF($A26="","",IF(OR($L26="Completed",$L26="Cancelled"),"No",IF('Dashboard'!$B$3&gt;$J26,"Yes","No")))</x:f>
        <x:v>No</x:v>
      </x:c>
      <x:c r="W26" s="69" t="n">
        <x:v>46205.83194444444</x:v>
      </x:c>
      <x:c r="X26" s="72" t="n">
        <x:f>IF(OR($A26="",$W26=""),"",ROUND(($W26-$H26)*24,1))</x:f>
        <x:v>8.8</x:v>
      </x:c>
      <x:c r="Y26" s="26" t="str">
        <x:v>Yes</x:v>
      </x:c>
      <x:c r="Z26" s="75" t="str">
        <x:v>Washer drain pump cleared and diagnostic cycle completed.</x:v>
      </x:c>
    </x:row>
    <x:row r="27" ht="27" customHeight="1">
      <x:c r="A27" s="26" t="str">
        <x:v>MR-26023</x:v>
      </x:c>
      <x:c r="B27" s="74" t="str">
        <x:v>Layla Green</x:v>
      </x:c>
      <x:c r="C27" s="74" t="str">
        <x:v>B-514</x:v>
      </x:c>
      <x:c r="D27" s="74" t="str">
        <x:v>Exterior / Common Area</x:v>
      </x:c>
      <x:c r="E27" s="74" t="str">
        <x:v>P2 Urgent</x:v>
      </x:c>
      <x:c r="F27" s="74" t="str">
        <x:v>Tessa Nguyen</x:v>
      </x:c>
      <x:c r="G27" s="74" t="str">
        <x:v>Apex Restoration</x:v>
      </x:c>
      <x:c r="H27" s="69" t="n">
        <x:v>46208.69097222222</x:v>
      </x:c>
      <x:c r="I27" s="69" t="n">
        <x:v>46208.720138888886</x:v>
      </x:c>
      <x:c r="J27" s="69" t="n">
        <x:f>IF($A27="","",$H27+$S27/24)</x:f>
        <x:v>46209.69097222222</x:v>
      </x:c>
      <x:c r="K27" s="69" t="n">
        <x:v>46209.56597222222</x:v>
      </x:c>
      <x:c r="L27" s="26" t="str">
        <x:v>Completed</x:v>
      </x:c>
      <x:c r="M27" s="70" t="n">
        <x:v>530</x:v>
      </x:c>
      <x:c r="N27" s="71" t="n">
        <x:v>5</x:v>
      </x:c>
      <x:c r="O27" s="72" t="n">
        <x:f>IF($A27="","",MAX(0,IF($K27&lt;&gt;"",$K27-$H27,'Dashboard'!$B$3-$H27)) )</x:f>
        <x:v>0.875</x:v>
      </x:c>
      <x:c r="P27" s="72" t="n">
        <x:f>IF(OR($A27="",$I27=""),"",ROUND(($I27-$H27)*24,1))</x:f>
        <x:v>0.7</x:v>
      </x:c>
      <x:c r="Q27" s="72" t="n">
        <x:f>IF(OR($A27="",$K27=""),"",ROUND(($K27-$H27)*24,1))</x:f>
        <x:v>21</x:v>
      </x:c>
      <x:c r="R27" s="72" t="n">
        <x:f>IF($A27="","",IFERROR(VLOOKUP($E27,'Lists &amp; SLA'!$A$5:$C$8,2,FALSE),""))</x:f>
        <x:v>0.5</x:v>
      </x:c>
      <x:c r="S27" s="72" t="n">
        <x:f>IF($A27="","",IFERROR(VLOOKUP($E27,'Lists &amp; SLA'!$A$5:$C$8,3,FALSE),""))</x:f>
        <x:v>24</x:v>
      </x:c>
      <x:c r="T27" s="73" t="str">
        <x:f>IF($A27="","",IF($L27="Cancelled","N/A",IF($P27="","Pending",IF($P27&lt;=$R27,"Yes","No"))))</x:f>
        <x:v>No</x:v>
      </x:c>
      <x:c r="U27" s="73" t="str">
        <x:f>IF($A27="","",IF($L27="Cancelled","N/A",IF($K27="","Pending",IF($Q27&lt;=$S27,"Yes","No"))))</x:f>
        <x:v>Yes</x:v>
      </x:c>
      <x:c r="V27" s="73" t="str">
        <x:f>IF($A27="","",IF(OR($L27="Completed",$L27="Cancelled"),"No",IF('Dashboard'!$B$3&gt;$J27,"Yes","No")))</x:f>
        <x:v>No</x:v>
      </x:c>
      <x:c r="W27" s="69" t="n">
        <x:v>46208.80347222222</x:v>
      </x:c>
      <x:c r="X27" s="72" t="n">
        <x:f>IF(OR($A27="",$W27=""),"",ROUND(($W27-$H27)*24,1))</x:f>
        <x:v>2.7</x:v>
      </x:c>
      <x:c r="Y27" s="26" t="str">
        <x:v>Yes</x:v>
      </x:c>
      <x:c r="Z27" s="75" t="str">
        <x:v>Patio door threshold resealed after water intrusion report.</x:v>
      </x:c>
    </x:row>
    <x:row r="28" ht="27" customHeight="1">
      <x:c r="A28" s="26" t="str">
        <x:v>MR-26024</x:v>
      </x:c>
      <x:c r="B28" s="74" t="str">
        <x:v>Owen Clark</x:v>
      </x:c>
      <x:c r="C28" s="74" t="str">
        <x:v>D-224</x:v>
      </x:c>
      <x:c r="D28" s="74" t="str">
        <x:v>Appliance</x:v>
      </x:c>
      <x:c r="E28" s="74" t="str">
        <x:v>P4 Low / Planned</x:v>
      </x:c>
      <x:c r="F28" s="74" t="str">
        <x:v>Andre Collins</x:v>
      </x:c>
      <x:c r="G28" s="74" t="str">
        <x:v>In-House</x:v>
      </x:c>
      <x:c r="H28" s="69" t="n">
        <x:v>46210.37847222222</x:v>
      </x:c>
      <x:c r="I28" s="69" t="n">
        <x:v>46210.711805555555</x:v>
      </x:c>
      <x:c r="J28" s="69" t="n">
        <x:f>IF($A28="","",$H28+$S28/24)</x:f>
        <x:v>46220.37847222222</x:v>
      </x:c>
      <x:c r="K28" s="69" t="n">
        <x:v>46214.37847222222</x:v>
      </x:c>
      <x:c r="L28" s="26" t="str">
        <x:v>Completed</x:v>
      </x:c>
      <x:c r="M28" s="70" t="n">
        <x:v>74</x:v>
      </x:c>
      <x:c r="N28" s="71" t="n">
        <x:v>4</x:v>
      </x:c>
      <x:c r="O28" s="72" t="n">
        <x:f>IF($A28="","",MAX(0,IF($K28&lt;&gt;"",$K28-$H28,'Dashboard'!$B$3-$H28)) )</x:f>
        <x:v>4</x:v>
      </x:c>
      <x:c r="P28" s="72" t="n">
        <x:f>IF(OR($A28="",$I28=""),"",ROUND(($I28-$H28)*24,1))</x:f>
        <x:v>8</x:v>
      </x:c>
      <x:c r="Q28" s="72" t="n">
        <x:f>IF(OR($A28="",$K28=""),"",ROUND(($K28-$H28)*24,1))</x:f>
        <x:v>96</x:v>
      </x:c>
      <x:c r="R28" s="72" t="n">
        <x:f>IF($A28="","",IFERROR(VLOOKUP($E28,'Lists &amp; SLA'!$A$5:$C$8,2,FALSE),""))</x:f>
        <x:v>8</x:v>
      </x:c>
      <x:c r="S28" s="72" t="n">
        <x:f>IF($A28="","",IFERROR(VLOOKUP($E28,'Lists &amp; SLA'!$A$5:$C$8,3,FALSE),""))</x:f>
        <x:v>240</x:v>
      </x:c>
      <x:c r="T28" s="73" t="str">
        <x:f>IF($A28="","",IF($L28="Cancelled","N/A",IF($P28="","Pending",IF($P28&lt;=$R28,"Yes","No"))))</x:f>
        <x:v>Yes</x:v>
      </x:c>
      <x:c r="U28" s="73" t="str">
        <x:f>IF($A28="","",IF($L28="Cancelled","N/A",IF($K28="","Pending",IF($Q28&lt;=$S28,"Yes","No"))))</x:f>
        <x:v>Yes</x:v>
      </x:c>
      <x:c r="V28" s="73" t="str">
        <x:f>IF($A28="","",IF(OR($L28="Completed",$L28="Cancelled"),"No",IF('Dashboard'!$B$3&gt;$J28,"Yes","No")))</x:f>
        <x:v>No</x:v>
      </x:c>
      <x:c r="W28" s="69" t="n">
        <x:v>46211.211805555555</x:v>
      </x:c>
      <x:c r="X28" s="72" t="n">
        <x:f>IF(OR($A28="",$W28=""),"",ROUND(($W28-$H28)*24,1))</x:f>
        <x:v>20</x:v>
      </x:c>
      <x:c r="Y28" s="26" t="str">
        <x:v>No</x:v>
      </x:c>
      <x:c r="Z28" s="75" t="str">
        <x:v>Freezer defrosted; door gasket cleaned and reseated.</x:v>
      </x:c>
    </x:row>
    <x:row r="29" ht="27" customHeight="1">
      <x:c r="A29" s="26" t="str">
        <x:v>MR-26025</x:v>
      </x:c>
      <x:c r="B29" s="74" t="str">
        <x:v>Chloe Scott</x:v>
      </x:c>
      <x:c r="C29" s="74" t="str">
        <x:v>A-118</x:v>
      </x:c>
      <x:c r="D29" s="74" t="str">
        <x:v>Electrical</x:v>
      </x:c>
      <x:c r="E29" s="74" t="str">
        <x:v>P1 Emergency</x:v>
      </x:c>
      <x:c r="F29" s="74" t="str">
        <x:v>Maya Patel</x:v>
      </x:c>
      <x:c r="G29" s="74" t="str">
        <x:v>Seaside Electrical</x:v>
      </x:c>
      <x:c r="H29" s="69" t="n">
        <x:v>46213.76736111111</x:v>
      </x:c>
      <x:c r="I29" s="69" t="n">
        <x:v>46213.772361111114</x:v>
      </x:c>
      <x:c r="J29" s="69" t="n">
        <x:f>IF($A29="","",$H29+$S29/24)</x:f>
        <x:v>46213.934027777774</x:v>
      </x:c>
      <x:c r="K29" s="69" t="n">
        <x:v>46213.850694444445</x:v>
      </x:c>
      <x:c r="L29" s="26" t="str">
        <x:v>Completed</x:v>
      </x:c>
      <x:c r="M29" s="70" t="n">
        <x:v>395</x:v>
      </x:c>
      <x:c r="N29" s="71" t="n">
        <x:v>5</x:v>
      </x:c>
      <x:c r="O29" s="72" t="n">
        <x:f>IF($A29="","",MAX(0,IF($K29&lt;&gt;"",$K29-$H29,'Dashboard'!$B$3-$H29)) )</x:f>
        <x:v>0.08333333333575865</x:v>
      </x:c>
      <x:c r="P29" s="72" t="n">
        <x:f>IF(OR($A29="",$I29=""),"",ROUND(($I29-$H29)*24,1))</x:f>
        <x:v>0.1</x:v>
      </x:c>
      <x:c r="Q29" s="72" t="n">
        <x:f>IF(OR($A29="",$K29=""),"",ROUND(($K29-$H29)*24,1))</x:f>
        <x:v>2</x:v>
      </x:c>
      <x:c r="R29" s="72" t="n">
        <x:f>IF($A29="","",IFERROR(VLOOKUP($E29,'Lists &amp; SLA'!$A$5:$C$8,2,FALSE),""))</x:f>
        <x:v>0.0833</x:v>
      </x:c>
      <x:c r="S29" s="72" t="n">
        <x:f>IF($A29="","",IFERROR(VLOOKUP($E29,'Lists &amp; SLA'!$A$5:$C$8,3,FALSE),""))</x:f>
        <x:v>4</x:v>
      </x:c>
      <x:c r="T29" s="73" t="str">
        <x:f>IF($A29="","",IF($L29="Cancelled","N/A",IF($P29="","Pending",IF($P29&lt;=$R29,"Yes","No"))))</x:f>
        <x:v>No</x:v>
      </x:c>
      <x:c r="U29" s="73" t="str">
        <x:f>IF($A29="","",IF($L29="Cancelled","N/A",IF($K29="","Pending",IF($Q29&lt;=$S29,"Yes","No"))))</x:f>
        <x:v>Yes</x:v>
      </x:c>
      <x:c r="V29" s="73" t="str">
        <x:f>IF($A29="","",IF(OR($L29="Completed",$L29="Cancelled"),"No",IF('Dashboard'!$B$3&gt;$J29,"Yes","No")))</x:f>
        <x:v>No</x:v>
      </x:c>
      <x:c r="W29" s="69" t="n">
        <x:v>46213.779027777775</x:v>
      </x:c>
      <x:c r="X29" s="72" t="n">
        <x:f>IF(OR($A29="",$W29=""),"",ROUND(($W29-$H29)*24,1))</x:f>
        <x:v>0.3</x:v>
      </x:c>
      <x:c r="Y29" s="26" t="str">
        <x:v>Yes</x:v>
      </x:c>
      <x:c r="Z29" s="75" t="str">
        <x:v>Failed breaker replaced; unit power restored and panel inspected.</x:v>
      </x:c>
    </x:row>
    <x:row r="30" ht="27" customHeight="1">
      <x:c r="A30" s="26" t="str">
        <x:v>MR-26026</x:v>
      </x:c>
      <x:c r="B30" s="74" t="str">
        <x:v>Samuel Ortiz</x:v>
      </x:c>
      <x:c r="C30" s="74" t="str">
        <x:v>C-321</x:v>
      </x:c>
      <x:c r="D30" s="74" t="str">
        <x:v>Plumbing</x:v>
      </x:c>
      <x:c r="E30" s="74" t="str">
        <x:v>P3 Routine</x:v>
      </x:c>
      <x:c r="F30" s="74" t="str">
        <x:v>Luis Hernandez</x:v>
      </x:c>
      <x:c r="G30" s="74" t="str">
        <x:v>Coastal Plumbing Services</x:v>
      </x:c>
      <x:c r="H30" s="69" t="n">
        <x:v>46215.552083333336</x:v>
      </x:c>
      <x:c r="I30" s="69" t="n">
        <x:v>46215.635416666664</x:v>
      </x:c>
      <x:c r="J30" s="69" t="n">
        <x:f>IF($A30="","",$H30+$S30/24)</x:f>
        <x:v>46218.552083333336</x:v>
      </x:c>
      <x:c r="K30" s="69" t="n">
        <x:v>46216.385416666664</x:v>
      </x:c>
      <x:c r="L30" s="26" t="str">
        <x:v>Completed</x:v>
      </x:c>
      <x:c r="M30" s="70" t="n">
        <x:v>155</x:v>
      </x:c>
      <x:c r="N30" s="71" t="n">
        <x:v>4</x:v>
      </x:c>
      <x:c r="O30" s="72" t="n">
        <x:f>IF($A30="","",MAX(0,IF($K30&lt;&gt;"",$K30-$H30,'Dashboard'!$B$3-$H30)) )</x:f>
        <x:v>0.8333333333284827</x:v>
      </x:c>
      <x:c r="P30" s="72" t="n">
        <x:f>IF(OR($A30="",$I30=""),"",ROUND(($I30-$H30)*24,1))</x:f>
        <x:v>2</x:v>
      </x:c>
      <x:c r="Q30" s="72" t="n">
        <x:f>IF(OR($A30="",$K30=""),"",ROUND(($K30-$H30)*24,1))</x:f>
        <x:v>20</x:v>
      </x:c>
      <x:c r="R30" s="72" t="n">
        <x:f>IF($A30="","",IFERROR(VLOOKUP($E30,'Lists &amp; SLA'!$A$5:$C$8,2,FALSE),""))</x:f>
        <x:v>2</x:v>
      </x:c>
      <x:c r="S30" s="72" t="n">
        <x:f>IF($A30="","",IFERROR(VLOOKUP($E30,'Lists &amp; SLA'!$A$5:$C$8,3,FALSE),""))</x:f>
        <x:v>72</x:v>
      </x:c>
      <x:c r="T30" s="73" t="str">
        <x:f>IF($A30="","",IF($L30="Cancelled","N/A",IF($P30="","Pending",IF($P30&lt;=$R30,"Yes","No"))))</x:f>
        <x:v>Yes</x:v>
      </x:c>
      <x:c r="U30" s="73" t="str">
        <x:f>IF($A30="","",IF($L30="Cancelled","N/A",IF($K30="","Pending",IF($Q30&lt;=$S30,"Yes","No"))))</x:f>
        <x:v>Yes</x:v>
      </x:c>
      <x:c r="V30" s="73" t="str">
        <x:f>IF($A30="","",IF(OR($L30="Completed",$L30="Cancelled"),"No",IF('Dashboard'!$B$3&gt;$J30,"Yes","No")))</x:f>
        <x:v>No</x:v>
      </x:c>
      <x:c r="W30" s="69" t="n">
        <x:v>46215.84375</x:v>
      </x:c>
      <x:c r="X30" s="72" t="n">
        <x:f>IF(OR($A30="",$W30=""),"",ROUND(($W30-$H30)*24,1))</x:f>
        <x:v>7</x:v>
      </x:c>
      <x:c r="Y30" s="26" t="str">
        <x:v>Yes</x:v>
      </x:c>
      <x:c r="Z30" s="75" t="str">
        <x:v>Toilet fill valve replaced; water level adjusted.</x:v>
      </x:c>
    </x:row>
    <x:row r="31" ht="27" customHeight="1">
      <x:c r="A31" s="26" t="str">
        <x:v>MR-26027</x:v>
      </x:c>
      <x:c r="B31" s="74" t="str">
        <x:v>Nora Evans</x:v>
      </x:c>
      <x:c r="C31" s="74" t="str">
        <x:v>Mailroom</x:v>
      </x:c>
      <x:c r="D31" s="74" t="str">
        <x:v>Safety / Security</x:v>
      </x:c>
      <x:c r="E31" s="74" t="str">
        <x:v>P2 Urgent</x:v>
      </x:c>
      <x:c r="F31" s="74" t="str">
        <x:v>Tessa Nguyen</x:v>
      </x:c>
      <x:c r="G31" s="74" t="str">
        <x:v>SecureAccess Locksmith</x:v>
      </x:c>
      <x:c r="H31" s="69" t="n">
        <x:v>46218.31597222222</x:v>
      </x:c>
      <x:c r="I31" s="69" t="n">
        <x:v>46218.34722222222</x:v>
      </x:c>
      <x:c r="J31" s="69" t="n">
        <x:f>IF($A31="","",$H31+$S31/24)</x:f>
        <x:v>46219.31597222222</x:v>
      </x:c>
      <x:c r="K31" s="69" t="n">
        <x:v>46218.60763888889</x:v>
      </x:c>
      <x:c r="L31" s="26" t="str">
        <x:v>Completed</x:v>
      </x:c>
      <x:c r="M31" s="70" t="n">
        <x:v>260</x:v>
      </x:c>
      <x:c r="N31" s="71" t="n">
        <x:v>5</x:v>
      </x:c>
      <x:c r="O31" s="72" t="n">
        <x:f>IF($A31="","",MAX(0,IF($K31&lt;&gt;"",$K31-$H31,'Dashboard'!$B$3-$H31)) )</x:f>
        <x:v>0.2916666666715173</x:v>
      </x:c>
      <x:c r="P31" s="72" t="n">
        <x:f>IF(OR($A31="",$I31=""),"",ROUND(($I31-$H31)*24,1))</x:f>
        <x:v>0.8</x:v>
      </x:c>
      <x:c r="Q31" s="72" t="n">
        <x:f>IF(OR($A31="",$K31=""),"",ROUND(($K31-$H31)*24,1))</x:f>
        <x:v>7</x:v>
      </x:c>
      <x:c r="R31" s="72" t="n">
        <x:f>IF($A31="","",IFERROR(VLOOKUP($E31,'Lists &amp; SLA'!$A$5:$C$8,2,FALSE),""))</x:f>
        <x:v>0.5</x:v>
      </x:c>
      <x:c r="S31" s="72" t="n">
        <x:f>IF($A31="","",IFERROR(VLOOKUP($E31,'Lists &amp; SLA'!$A$5:$C$8,3,FALSE),""))</x:f>
        <x:v>24</x:v>
      </x:c>
      <x:c r="T31" s="73" t="str">
        <x:f>IF($A31="","",IF($L31="Cancelled","N/A",IF($P31="","Pending",IF($P31&lt;=$R31,"Yes","No"))))</x:f>
        <x:v>No</x:v>
      </x:c>
      <x:c r="U31" s="73" t="str">
        <x:f>IF($A31="","",IF($L31="Cancelled","N/A",IF($K31="","Pending",IF($Q31&lt;=$S31,"Yes","No"))))</x:f>
        <x:v>Yes</x:v>
      </x:c>
      <x:c r="V31" s="73" t="str">
        <x:f>IF($A31="","",IF(OR($L31="Completed",$L31="Cancelled"),"No",IF('Dashboard'!$B$3&gt;$J31,"Yes","No")))</x:f>
        <x:v>No</x:v>
      </x:c>
      <x:c r="W31" s="69" t="n">
        <x:v>46218.430555555555</x:v>
      </x:c>
      <x:c r="X31" s="72" t="n">
        <x:f>IF(OR($A31="",$W31=""),"",ROUND(($W31-$H31)*24,1))</x:f>
        <x:v>2.8</x:v>
      </x:c>
      <x:c r="Y31" s="26" t="str">
        <x:v>Yes</x:v>
      </x:c>
      <x:c r="Z31" s="75" t="str">
        <x:v>Mailroom camera power supply replaced and video feed verified.</x:v>
      </x:c>
    </x:row>
    <x:row r="32" ht="27" customHeight="1">
      <x:c r="A32" s="26" t="str">
        <x:v>MR-26028</x:v>
      </x:c>
      <x:c r="B32" s="74" t="str">
        <x:v>Adrian Hall</x:v>
      </x:c>
      <x:c r="C32" s="74" t="str">
        <x:v>B-428</x:v>
      </x:c>
      <x:c r="D32" s="74" t="str">
        <x:v>HVAC</x:v>
      </x:c>
      <x:c r="E32" s="74" t="str">
        <x:v>P3 Routine</x:v>
      </x:c>
      <x:c r="F32" s="74" t="str">
        <x:v>Maya Patel</x:v>
      </x:c>
      <x:c r="G32" s="74" t="str">
        <x:v>Harbor HVAC &amp; Mechanical</x:v>
      </x:c>
      <x:c r="H32" s="69" t="n">
        <x:v>46221.614583333336</x:v>
      </x:c>
      <x:c r="I32" s="69" t="n">
        <x:v>46221.739583333336</x:v>
      </x:c>
      <x:c r="J32" s="69" t="n">
        <x:f>IF($A32="","",$H32+$S32/24)</x:f>
        <x:v>46224.614583333336</x:v>
      </x:c>
      <x:c r="K32" s="69" t="n">
        <x:v>46223.697916666664</x:v>
      </x:c>
      <x:c r="L32" s="26" t="str">
        <x:v>Completed</x:v>
      </x:c>
      <x:c r="M32" s="70" t="n">
        <x:v>325</x:v>
      </x:c>
      <x:c r="N32" s="71" t="n">
        <x:v>4</x:v>
      </x:c>
      <x:c r="O32" s="72" t="n">
        <x:f>IF($A32="","",MAX(0,IF($K32&lt;&gt;"",$K32-$H32,'Dashboard'!$B$3-$H32)) )</x:f>
        <x:v>2.0833333333284827</x:v>
      </x:c>
      <x:c r="P32" s="72" t="n">
        <x:f>IF(OR($A32="",$I32=""),"",ROUND(($I32-$H32)*24,1))</x:f>
        <x:v>3</x:v>
      </x:c>
      <x:c r="Q32" s="72" t="n">
        <x:f>IF(OR($A32="",$K32=""),"",ROUND(($K32-$H32)*24,1))</x:f>
        <x:v>50</x:v>
      </x:c>
      <x:c r="R32" s="72" t="n">
        <x:f>IF($A32="","",IFERROR(VLOOKUP($E32,'Lists &amp; SLA'!$A$5:$C$8,2,FALSE),""))</x:f>
        <x:v>2</x:v>
      </x:c>
      <x:c r="S32" s="72" t="n">
        <x:f>IF($A32="","",IFERROR(VLOOKUP($E32,'Lists &amp; SLA'!$A$5:$C$8,3,FALSE),""))</x:f>
        <x:v>72</x:v>
      </x:c>
      <x:c r="T32" s="73" t="str">
        <x:f>IF($A32="","",IF($L32="Cancelled","N/A",IF($P32="","Pending",IF($P32&lt;=$R32,"Yes","No"))))</x:f>
        <x:v>No</x:v>
      </x:c>
      <x:c r="U32" s="73" t="str">
        <x:f>IF($A32="","",IF($L32="Cancelled","N/A",IF($K32="","Pending",IF($Q32&lt;=$S32,"Yes","No"))))</x:f>
        <x:v>Yes</x:v>
      </x:c>
      <x:c r="V32" s="73" t="str">
        <x:f>IF($A32="","",IF(OR($L32="Completed",$L32="Cancelled"),"No",IF('Dashboard'!$B$3&gt;$J32,"Yes","No")))</x:f>
        <x:v>No</x:v>
      </x:c>
      <x:c r="W32" s="69" t="n">
        <x:v>46221.947916666664</x:v>
      </x:c>
      <x:c r="X32" s="72" t="n">
        <x:f>IF(OR($A32="",$W32=""),"",ROUND(($W32-$H32)*24,1))</x:f>
        <x:v>8</x:v>
      </x:c>
      <x:c r="Y32" s="26" t="str">
        <x:v>Yes</x:v>
      </x:c>
      <x:c r="Z32" s="75" t="str">
        <x:v>Loose blower assembly tightened; vibration test passed.</x:v>
      </x:c>
    </x:row>
    <x:row r="33" ht="27" customHeight="1">
      <x:c r="A33" s="26" t="str">
        <x:v>MR-26029</x:v>
      </x:c>
      <x:c r="B33" s="74" t="str">
        <x:v>Mila Thompson</x:v>
      </x:c>
      <x:c r="C33" s="74" t="str">
        <x:v>Laundry B</x:v>
      </x:c>
      <x:c r="D33" s="74" t="str">
        <x:v>Plumbing</x:v>
      </x:c>
      <x:c r="E33" s="74" t="str">
        <x:v>P1 Emergency</x:v>
      </x:c>
      <x:c r="F33" s="74" t="str">
        <x:v>Luis Hernandez</x:v>
      </x:c>
      <x:c r="G33" s="74" t="str">
        <x:v>Coastal Plumbing Services</x:v>
      </x:c>
      <x:c r="H33" s="69" t="n">
        <x:v>46225.288194444445</x:v>
      </x:c>
      <x:c r="I33" s="69" t="n">
        <x:v>46225.29652777778</x:v>
      </x:c>
      <x:c r="J33" s="69" t="n">
        <x:f>IF($A33="","",$H33+$S33/24)</x:f>
        <x:v>46225.45486111111</x:v>
      </x:c>
      <x:c r="K33" s="69" t="n">
        <x:v>46225.413194444445</x:v>
      </x:c>
      <x:c r="L33" s="26" t="str">
        <x:v>Completed</x:v>
      </x:c>
      <x:c r="M33" s="70" t="n">
        <x:v>875</x:v>
      </x:c>
      <x:c r="N33" s="71" t="n">
        <x:v>5</x:v>
      </x:c>
      <x:c r="O33" s="72" t="n">
        <x:f>IF($A33="","",MAX(0,IF($K33&lt;&gt;"",$K33-$H33,'Dashboard'!$B$3-$H33)) )</x:f>
        <x:v>0.125</x:v>
      </x:c>
      <x:c r="P33" s="72" t="n">
        <x:f>IF(OR($A33="",$I33=""),"",ROUND(($I33-$H33)*24,1))</x:f>
        <x:v>0.2</x:v>
      </x:c>
      <x:c r="Q33" s="72" t="n">
        <x:f>IF(OR($A33="",$K33=""),"",ROUND(($K33-$H33)*24,1))</x:f>
        <x:v>3</x:v>
      </x:c>
      <x:c r="R33" s="72" t="n">
        <x:f>IF($A33="","",IFERROR(VLOOKUP($E33,'Lists &amp; SLA'!$A$5:$C$8,2,FALSE),""))</x:f>
        <x:v>0.0833</x:v>
      </x:c>
      <x:c r="S33" s="72" t="n">
        <x:f>IF($A33="","",IFERROR(VLOOKUP($E33,'Lists &amp; SLA'!$A$5:$C$8,3,FALSE),""))</x:f>
        <x:v>4</x:v>
      </x:c>
      <x:c r="T33" s="73" t="str">
        <x:f>IF($A33="","",IF($L33="Cancelled","N/A",IF($P33="","Pending",IF($P33&lt;=$R33,"Yes","No"))))</x:f>
        <x:v>No</x:v>
      </x:c>
      <x:c r="U33" s="73" t="str">
        <x:f>IF($A33="","",IF($L33="Cancelled","N/A",IF($K33="","Pending",IF($Q33&lt;=$S33,"Yes","No"))))</x:f>
        <x:v>Yes</x:v>
      </x:c>
      <x:c r="V33" s="73" t="str">
        <x:f>IF($A33="","",IF(OR($L33="Completed",$L33="Cancelled"),"No",IF('Dashboard'!$B$3&gt;$J33,"Yes","No")))</x:f>
        <x:v>No</x:v>
      </x:c>
      <x:c r="W33" s="69" t="n">
        <x:v>46225.30486111111</x:v>
      </x:c>
      <x:c r="X33" s="72" t="n">
        <x:f>IF(OR($A33="",$W33=""),"",ROUND(($W33-$H33)*24,1))</x:f>
        <x:v>0.4</x:v>
      </x:c>
      <x:c r="Y33" s="26" t="str">
        <x:v>Yes</x:v>
      </x:c>
      <x:c r="Z33" s="75" t="str">
        <x:v>Laundry main drain cleared; affected area sanitized.</x:v>
      </x:c>
    </x:row>
    <x:row r="34" ht="27" customHeight="1">
      <x:c r="A34" s="26" t="str">
        <x:v>MR-26030</x:v>
      </x:c>
      <x:c r="B34" s="74" t="str">
        <x:v>Jack Robinson</x:v>
      </x:c>
      <x:c r="C34" s="74" t="str">
        <x:v>D-110</x:v>
      </x:c>
      <x:c r="D34" s="74" t="str">
        <x:v>General Repair</x:v>
      </x:c>
      <x:c r="E34" s="74" t="str">
        <x:v>P4 Low / Planned</x:v>
      </x:c>
      <x:c r="F34" s="74" t="str">
        <x:v>Andre Collins</x:v>
      </x:c>
      <x:c r="G34" s="74" t="str">
        <x:v>In-House</x:v>
      </x:c>
      <x:c r="H34" s="69" t="n">
        <x:v>46229.430555555555</x:v>
      </x:c>
      <x:c r="I34" s="69" t="n">
        <x:v>46229.59722222222</x:v>
      </x:c>
      <x:c r="J34" s="69" t="n">
        <x:f>IF($A34="","",$H34+$S34/24)</x:f>
        <x:v>46239.430555555555</x:v>
      </x:c>
      <x:c r="K34" s="69" t="n">
        <x:v>46230.680555555555</x:v>
      </x:c>
      <x:c r="L34" s="26" t="str">
        <x:v>Completed</x:v>
      </x:c>
      <x:c r="M34" s="70" t="n">
        <x:v>24</x:v>
      </x:c>
      <x:c r="N34" s="71" t="n">
        <x:v>5</x:v>
      </x:c>
      <x:c r="O34" s="72" t="n">
        <x:f>IF($A34="","",MAX(0,IF($K34&lt;&gt;"",$K34-$H34,'Dashboard'!$B$3-$H34)) )</x:f>
        <x:v>1.25</x:v>
      </x:c>
      <x:c r="P34" s="72" t="n">
        <x:f>IF(OR($A34="",$I34=""),"",ROUND(($I34-$H34)*24,1))</x:f>
        <x:v>4</x:v>
      </x:c>
      <x:c r="Q34" s="72" t="n">
        <x:f>IF(OR($A34="",$K34=""),"",ROUND(($K34-$H34)*24,1))</x:f>
        <x:v>30</x:v>
      </x:c>
      <x:c r="R34" s="72" t="n">
        <x:f>IF($A34="","",IFERROR(VLOOKUP($E34,'Lists &amp; SLA'!$A$5:$C$8,2,FALSE),""))</x:f>
        <x:v>8</x:v>
      </x:c>
      <x:c r="S34" s="72" t="n">
        <x:f>IF($A34="","",IFERROR(VLOOKUP($E34,'Lists &amp; SLA'!$A$5:$C$8,3,FALSE),""))</x:f>
        <x:v>240</x:v>
      </x:c>
      <x:c r="T34" s="73" t="str">
        <x:f>IF($A34="","",IF($L34="Cancelled","N/A",IF($P34="","Pending",IF($P34&lt;=$R34,"Yes","No"))))</x:f>
        <x:v>Yes</x:v>
      </x:c>
      <x:c r="U34" s="73" t="str">
        <x:f>IF($A34="","",IF($L34="Cancelled","N/A",IF($K34="","Pending",IF($Q34&lt;=$S34,"Yes","No"))))</x:f>
        <x:v>Yes</x:v>
      </x:c>
      <x:c r="V34" s="73" t="str">
        <x:f>IF($A34="","",IF(OR($L34="Completed",$L34="Cancelled"),"No",IF('Dashboard'!$B$3&gt;$J34,"Yes","No")))</x:f>
        <x:v>No</x:v>
      </x:c>
      <x:c r="W34" s="69" t="n">
        <x:v>46230.09722222222</x:v>
      </x:c>
      <x:c r="X34" s="72" t="n">
        <x:f>IF(OR($A34="",$W34=""),"",ROUND(($W34-$H34)*24,1))</x:f>
        <x:v>16</x:v>
      </x:c>
      <x:c r="Y34" s="26" t="str">
        <x:v>Yes</x:v>
      </x:c>
      <x:c r="Z34" s="75" t="str">
        <x:v>Cabinet hinge replaced and doors aligned.</x:v>
      </x:c>
    </x:row>
    <x:row r="35" ht="27" customHeight="1">
      <x:c r="A35" s="26" t="str">
        <x:v>MR-26031</x:v>
      </x:c>
      <x:c r="B35" s="74" t="str">
        <x:v>Camila Young</x:v>
      </x:c>
      <x:c r="C35" s="74" t="str">
        <x:v>A-309</x:v>
      </x:c>
      <x:c r="D35" s="74" t="str">
        <x:v>Plumbing</x:v>
      </x:c>
      <x:c r="E35" s="74" t="str">
        <x:v>P2 Urgent</x:v>
      </x:c>
      <x:c r="F35" s="74" t="str">
        <x:v>Luis Hernandez</x:v>
      </x:c>
      <x:c r="G35" s="74" t="str">
        <x:v>Coastal Plumbing Services</x:v>
      </x:c>
      <x:c r="H35" s="69" t="n">
        <x:v>46227.381944444445</x:v>
      </x:c>
      <x:c r="I35" s="69" t="n">
        <x:v>46227.41527777778</x:v>
      </x:c>
      <x:c r="J35" s="69" t="n">
        <x:f>IF($A35="","",$H35+$S35/24)</x:f>
        <x:v>46228.381944444445</x:v>
      </x:c>
      <x:c r="K35" s="69"/>
      <x:c r="L35" s="26" t="str">
        <x:v>In Progress</x:v>
      </x:c>
      <x:c r="M35" s="70" t="n">
        <x:v>190</x:v>
      </x:c>
      <x:c r="N35" s="71"/>
      <x:c r="O35" s="72" t="n">
        <x:f>IF($A35="","",MAX(0,IF($K35&lt;&gt;"",$K35-$H35,'Dashboard'!$B$3-$H35)) )</x:f>
        <x:v>11.326388888890506</x:v>
      </x:c>
      <x:c r="P35" s="72" t="n">
        <x:f>IF(OR($A35="",$I35=""),"",ROUND(($I35-$H35)*24,1))</x:f>
        <x:v>0.8</x:v>
      </x:c>
      <x:c r="Q35" s="72" t="str">
        <x:f>IF(OR($A35="",$K35=""),"",ROUND(($K35-$H35)*24,1))</x:f>
      </x:c>
      <x:c r="R35" s="72" t="n">
        <x:f>IF($A35="","",IFERROR(VLOOKUP($E35,'Lists &amp; SLA'!$A$5:$C$8,2,FALSE),""))</x:f>
        <x:v>0.5</x:v>
      </x:c>
      <x:c r="S35" s="72" t="n">
        <x:f>IF($A35="","",IFERROR(VLOOKUP($E35,'Lists &amp; SLA'!$A$5:$C$8,3,FALSE),""))</x:f>
        <x:v>24</x:v>
      </x:c>
      <x:c r="T35" s="73" t="str">
        <x:f>IF($A35="","",IF($L35="Cancelled","N/A",IF($P35="","Pending",IF($P35&lt;=$R35,"Yes","No"))))</x:f>
        <x:v>No</x:v>
      </x:c>
      <x:c r="U35" s="73" t="str">
        <x:f>IF($A35="","",IF($L35="Cancelled","N/A",IF($K35="","Pending",IF($Q35&lt;=$S35,"Yes","No"))))</x:f>
        <x:v>Pending</x:v>
      </x:c>
      <x:c r="V35" s="73" t="str">
        <x:f>IF($A35="","",IF(OR($L35="Completed",$L35="Cancelled"),"No",IF('Dashboard'!$B$3&gt;$J35,"Yes","No")))</x:f>
        <x:v>Yes</x:v>
      </x:c>
      <x:c r="W35" s="69" t="n">
        <x:v>46227.48611111111</x:v>
      </x:c>
      <x:c r="X35" s="72" t="n">
        <x:f>IF(OR($A35="",$W35=""),"",ROUND(($W35-$H35)*24,1))</x:f>
        <x:v>2.5</x:v>
      </x:c>
      <x:c r="Y35" s="26" t="str">
        <x:v>Pending</x:v>
      </x:c>
      <x:c r="Z35" s="75" t="str">
        <x:v>Tub drain access required; repair scheduled with plumbing vendor.</x:v>
      </x:c>
    </x:row>
    <x:row r="36" ht="27" customHeight="1">
      <x:c r="A36" s="26" t="str">
        <x:v>MR-26032</x:v>
      </x:c>
      <x:c r="B36" s="74" t="str">
        <x:v>Leo Mitchell</x:v>
      </x:c>
      <x:c r="C36" s="74" t="str">
        <x:v>C-205</x:v>
      </x:c>
      <x:c r="D36" s="74" t="str">
        <x:v>General Repair</x:v>
      </x:c>
      <x:c r="E36" s="74" t="str">
        <x:v>P3 Routine</x:v>
      </x:c>
      <x:c r="F36" s="74" t="str">
        <x:v>Andre Collins</x:v>
      </x:c>
      <x:c r="G36" s="74" t="str">
        <x:v>In-House</x:v>
      </x:c>
      <x:c r="H36" s="69" t="n">
        <x:v>46230.645833333336</x:v>
      </x:c>
      <x:c r="I36" s="69" t="n">
        <x:v>46230.770833333336</x:v>
      </x:c>
      <x:c r="J36" s="69" t="n">
        <x:f>IF($A36="","",$H36+$S36/24)</x:f>
        <x:v>46233.645833333336</x:v>
      </x:c>
      <x:c r="K36" s="69"/>
      <x:c r="L36" s="26" t="str">
        <x:v>Assigned</x:v>
      </x:c>
      <x:c r="M36" s="70" t="n">
        <x:v>65</x:v>
      </x:c>
      <x:c r="N36" s="71"/>
      <x:c r="O36" s="72" t="n">
        <x:f>IF($A36="","",MAX(0,IF($K36&lt;&gt;"",$K36-$H36,'Dashboard'!$B$3-$H36)) )</x:f>
        <x:v>8.0625</x:v>
      </x:c>
      <x:c r="P36" s="72" t="n">
        <x:f>IF(OR($A36="",$I36=""),"",ROUND(($I36-$H36)*24,1))</x:f>
        <x:v>3</x:v>
      </x:c>
      <x:c r="Q36" s="72" t="str">
        <x:f>IF(OR($A36="",$K36=""),"",ROUND(($K36-$H36)*24,1))</x:f>
      </x:c>
      <x:c r="R36" s="72" t="n">
        <x:f>IF($A36="","",IFERROR(VLOOKUP($E36,'Lists &amp; SLA'!$A$5:$C$8,2,FALSE),""))</x:f>
        <x:v>2</x:v>
      </x:c>
      <x:c r="S36" s="72" t="n">
        <x:f>IF($A36="","",IFERROR(VLOOKUP($E36,'Lists &amp; SLA'!$A$5:$C$8,3,FALSE),""))</x:f>
        <x:v>72</x:v>
      </x:c>
      <x:c r="T36" s="73" t="str">
        <x:f>IF($A36="","",IF($L36="Cancelled","N/A",IF($P36="","Pending",IF($P36&lt;=$R36,"Yes","No"))))</x:f>
        <x:v>No</x:v>
      </x:c>
      <x:c r="U36" s="73" t="str">
        <x:f>IF($A36="","",IF($L36="Cancelled","N/A",IF($K36="","Pending",IF($Q36&lt;=$S36,"Yes","No"))))</x:f>
        <x:v>Pending</x:v>
      </x:c>
      <x:c r="V36" s="73" t="str">
        <x:f>IF($A36="","",IF(OR($L36="Completed",$L36="Cancelled"),"No",IF('Dashboard'!$B$3&gt;$J36,"Yes","No")))</x:f>
        <x:v>Yes</x:v>
      </x:c>
      <x:c r="W36" s="69"/>
      <x:c r="X36" s="72" t="str">
        <x:f>IF(OR($A36="",$W36=""),"",ROUND(($W36-$H36)*24,1))</x:f>
      </x:c>
      <x:c r="Y36" s="26" t="str">
        <x:v>Pending</x:v>
      </x:c>
      <x:c r="Z36" s="75" t="str">
        <x:v>Bedroom window latch ordered; resident appointment confirmed.</x:v>
      </x:c>
    </x:row>
    <x:row r="37" ht="27" customHeight="1">
      <x:c r="A37" s="26" t="str">
        <x:v>MR-26033</x:v>
      </x:c>
      <x:c r="B37" s="74" t="str">
        <x:v>Emma King</x:v>
      </x:c>
      <x:c r="C37" s="74" t="str">
        <x:v>B-417</x:v>
      </x:c>
      <x:c r="D37" s="74" t="str">
        <x:v>HVAC</x:v>
      </x:c>
      <x:c r="E37" s="74" t="str">
        <x:v>P2 Urgent</x:v>
      </x:c>
      <x:c r="F37" s="74" t="str">
        <x:v>Maya Patel</x:v>
      </x:c>
      <x:c r="G37" s="74" t="str">
        <x:v>Harbor HVAC &amp; Mechanical</x:v>
      </x:c>
      <x:c r="H37" s="69" t="n">
        <x:v>46232.510416666664</x:v>
      </x:c>
      <x:c r="I37" s="69" t="n">
        <x:v>46232.54791666667</x:v>
      </x:c>
      <x:c r="J37" s="69" t="n">
        <x:f>IF($A37="","",$H37+$S37/24)</x:f>
        <x:v>46233.510416666664</x:v>
      </x:c>
      <x:c r="K37" s="69"/>
      <x:c r="L37" s="26" t="str">
        <x:v>On Hold - Parts</x:v>
      </x:c>
      <x:c r="M37" s="70" t="n">
        <x:v>410</x:v>
      </x:c>
      <x:c r="N37" s="71"/>
      <x:c r="O37" s="72" t="n">
        <x:f>IF($A37="","",MAX(0,IF($K37&lt;&gt;"",$K37-$H37,'Dashboard'!$B$3-$H37)) )</x:f>
        <x:v>6.197916666671517</x:v>
      </x:c>
      <x:c r="P37" s="72" t="n">
        <x:f>IF(OR($A37="",$I37=""),"",ROUND(($I37-$H37)*24,1))</x:f>
        <x:v>0.9</x:v>
      </x:c>
      <x:c r="Q37" s="72" t="str">
        <x:f>IF(OR($A37="",$K37=""),"",ROUND(($K37-$H37)*24,1))</x:f>
      </x:c>
      <x:c r="R37" s="72" t="n">
        <x:f>IF($A37="","",IFERROR(VLOOKUP($E37,'Lists &amp; SLA'!$A$5:$C$8,2,FALSE),""))</x:f>
        <x:v>0.5</x:v>
      </x:c>
      <x:c r="S37" s="72" t="n">
        <x:f>IF($A37="","",IFERROR(VLOOKUP($E37,'Lists &amp; SLA'!$A$5:$C$8,3,FALSE),""))</x:f>
        <x:v>24</x:v>
      </x:c>
      <x:c r="T37" s="73" t="str">
        <x:f>IF($A37="","",IF($L37="Cancelled","N/A",IF($P37="","Pending",IF($P37&lt;=$R37,"Yes","No"))))</x:f>
        <x:v>No</x:v>
      </x:c>
      <x:c r="U37" s="73" t="str">
        <x:f>IF($A37="","",IF($L37="Cancelled","N/A",IF($K37="","Pending",IF($Q37&lt;=$S37,"Yes","No"))))</x:f>
        <x:v>Pending</x:v>
      </x:c>
      <x:c r="V37" s="73" t="str">
        <x:f>IF($A37="","",IF(OR($L37="Completed",$L37="Cancelled"),"No",IF('Dashboard'!$B$3&gt;$J37,"Yes","No")))</x:f>
        <x:v>Yes</x:v>
      </x:c>
      <x:c r="W37" s="69" t="n">
        <x:v>46232.58541666667</x:v>
      </x:c>
      <x:c r="X37" s="72" t="n">
        <x:f>IF(OR($A37="",$W37=""),"",ROUND(($W37-$H37)*24,1))</x:f>
        <x:v>1.8</x:v>
      </x:c>
      <x:c r="Y37" s="26" t="str">
        <x:v>Pending</x:v>
      </x:c>
      <x:c r="Z37" s="75" t="str">
        <x:v>Thermostat fault isolated; compatible control board on order.</x:v>
      </x:c>
    </x:row>
    <x:row r="38" ht="27" customHeight="1">
      <x:c r="A38" s="26" t="str">
        <x:v>MR-26034</x:v>
      </x:c>
      <x:c r="B38" s="74" t="str">
        <x:v>Diego Flores</x:v>
      </x:c>
      <x:c r="C38" s="74" t="str">
        <x:v>D-508</x:v>
      </x:c>
      <x:c r="D38" s="74" t="str">
        <x:v>Pest Control</x:v>
      </x:c>
      <x:c r="E38" s="74" t="str">
        <x:v>P4 Low / Planned</x:v>
      </x:c>
      <x:c r="F38" s="74" t="str">
        <x:v>Tessa Nguyen</x:v>
      </x:c>
      <x:c r="G38" s="74" t="str">
        <x:v>Pacific Pest Solutions</x:v>
      </x:c>
      <x:c r="H38" s="69" t="n">
        <x:v>46234.36111111111</x:v>
      </x:c>
      <x:c r="I38" s="69" t="n">
        <x:v>46234.61111111111</x:v>
      </x:c>
      <x:c r="J38" s="69" t="n">
        <x:f>IF($A38="","",$H38+$S38/24)</x:f>
        <x:v>46244.36111111111</x:v>
      </x:c>
      <x:c r="K38" s="69"/>
      <x:c r="L38" s="26" t="str">
        <x:v>On Hold - Resident</x:v>
      </x:c>
      <x:c r="M38" s="70" t="n">
        <x:v>95</x:v>
      </x:c>
      <x:c r="N38" s="71"/>
      <x:c r="O38" s="72" t="n">
        <x:f>IF($A38="","",MAX(0,IF($K38&lt;&gt;"",$K38-$H38,'Dashboard'!$B$3-$H38)) )</x:f>
        <x:v>4.347222222226264</x:v>
      </x:c>
      <x:c r="P38" s="72" t="n">
        <x:f>IF(OR($A38="",$I38=""),"",ROUND(($I38-$H38)*24,1))</x:f>
        <x:v>6</x:v>
      </x:c>
      <x:c r="Q38" s="72" t="str">
        <x:f>IF(OR($A38="",$K38=""),"",ROUND(($K38-$H38)*24,1))</x:f>
      </x:c>
      <x:c r="R38" s="72" t="n">
        <x:f>IF($A38="","",IFERROR(VLOOKUP($E38,'Lists &amp; SLA'!$A$5:$C$8,2,FALSE),""))</x:f>
        <x:v>8</x:v>
      </x:c>
      <x:c r="S38" s="72" t="n">
        <x:f>IF($A38="","",IFERROR(VLOOKUP($E38,'Lists &amp; SLA'!$A$5:$C$8,3,FALSE),""))</x:f>
        <x:v>240</x:v>
      </x:c>
      <x:c r="T38" s="73" t="str">
        <x:f>IF($A38="","",IF($L38="Cancelled","N/A",IF($P38="","Pending",IF($P38&lt;=$R38,"Yes","No"))))</x:f>
        <x:v>Yes</x:v>
      </x:c>
      <x:c r="U38" s="73" t="str">
        <x:f>IF($A38="","",IF($L38="Cancelled","N/A",IF($K38="","Pending",IF($Q38&lt;=$S38,"Yes","No"))))</x:f>
        <x:v>Pending</x:v>
      </x:c>
      <x:c r="V38" s="73" t="str">
        <x:f>IF($A38="","",IF(OR($L38="Completed",$L38="Cancelled"),"No",IF('Dashboard'!$B$3&gt;$J38,"Yes","No")))</x:f>
        <x:v>No</x:v>
      </x:c>
      <x:c r="W38" s="69"/>
      <x:c r="X38" s="72" t="str">
        <x:f>IF(OR($A38="",$W38=""),"",ROUND(($W38-$H38)*24,1))</x:f>
      </x:c>
      <x:c r="Y38" s="26" t="str">
        <x:v>Pending</x:v>
      </x:c>
      <x:c r="Z38" s="75" t="str">
        <x:v>Follow-up treatment pending resident access confirmation.</x:v>
      </x:c>
    </x:row>
    <x:row r="39" ht="27" customHeight="1">
      <x:c r="A39" s="26" t="str">
        <x:v>MR-26035</x:v>
      </x:c>
      <x:c r="B39" s="74" t="str">
        <x:v>Avery Cooper</x:v>
      </x:c>
      <x:c r="C39" s="74" t="str">
        <x:v>Hallway C3</x:v>
      </x:c>
      <x:c r="D39" s="74" t="str">
        <x:v>Electrical</x:v>
      </x:c>
      <x:c r="E39" s="74" t="str">
        <x:v>P3 Routine</x:v>
      </x:c>
      <x:c r="F39" s="74" t="str">
        <x:v>Maya Patel</x:v>
      </x:c>
      <x:c r="G39" s="74" t="str">
        <x:v>Seaside Electrical</x:v>
      </x:c>
      <x:c r="H39" s="69" t="n">
        <x:v>46235.711805555555</x:v>
      </x:c>
      <x:c r="I39" s="69" t="n">
        <x:v>46235.79513888889</x:v>
      </x:c>
      <x:c r="J39" s="69" t="n">
        <x:f>IF($A39="","",$H39+$S39/24)</x:f>
        <x:v>46238.711805555555</x:v>
      </x:c>
      <x:c r="K39" s="69"/>
      <x:c r="L39" s="26" t="str">
        <x:v>In Progress</x:v>
      </x:c>
      <x:c r="M39" s="70" t="n">
        <x:v>280</x:v>
      </x:c>
      <x:c r="N39" s="71"/>
      <x:c r="O39" s="72" t="n">
        <x:f>IF($A39="","",MAX(0,IF($K39&lt;&gt;"",$K39-$H39,'Dashboard'!$B$3-$H39)) )</x:f>
        <x:v>2.9965277777810115</x:v>
      </x:c>
      <x:c r="P39" s="72" t="n">
        <x:f>IF(OR($A39="",$I39=""),"",ROUND(($I39-$H39)*24,1))</x:f>
        <x:v>2</x:v>
      </x:c>
      <x:c r="Q39" s="72" t="str">
        <x:f>IF(OR($A39="",$K39=""),"",ROUND(($K39-$H39)*24,1))</x:f>
      </x:c>
      <x:c r="R39" s="72" t="n">
        <x:f>IF($A39="","",IFERROR(VLOOKUP($E39,'Lists &amp; SLA'!$A$5:$C$8,2,FALSE),""))</x:f>
        <x:v>2</x:v>
      </x:c>
      <x:c r="S39" s="72" t="n">
        <x:f>IF($A39="","",IFERROR(VLOOKUP($E39,'Lists &amp; SLA'!$A$5:$C$8,3,FALSE),""))</x:f>
        <x:v>72</x:v>
      </x:c>
      <x:c r="T39" s="73" t="str">
        <x:f>IF($A39="","",IF($L39="Cancelled","N/A",IF($P39="","Pending",IF($P39&lt;=$R39,"Yes","No"))))</x:f>
        <x:v>Yes</x:v>
      </x:c>
      <x:c r="U39" s="73" t="str">
        <x:f>IF($A39="","",IF($L39="Cancelled","N/A",IF($K39="","Pending",IF($Q39&lt;=$S39,"Yes","No"))))</x:f>
        <x:v>Pending</x:v>
      </x:c>
      <x:c r="V39" s="73" t="str">
        <x:f>IF($A39="","",IF(OR($L39="Completed",$L39="Cancelled"),"No",IF('Dashboard'!$B$3&gt;$J39,"Yes","No")))</x:f>
        <x:v>No</x:v>
      </x:c>
      <x:c r="W39" s="69" t="n">
        <x:v>46235.87847222222</x:v>
      </x:c>
      <x:c r="X39" s="72" t="n">
        <x:f>IF(OR($A39="",$W39=""),"",ROUND(($W39-$H39)*24,1))</x:f>
        <x:v>4</x:v>
      </x:c>
      <x:c r="Y39" s="26" t="str">
        <x:v>Pending</x:v>
      </x:c>
      <x:c r="Z39" s="75" t="str">
        <x:v>Intermittent lighting traced to shared relay; vendor testing underway.</x:v>
      </x:c>
    </x:row>
    <x:row r="40" ht="27" customHeight="1">
      <x:c r="A40" s="26" t="str">
        <x:v>MR-26036</x:v>
      </x:c>
      <x:c r="B40" s="74" t="str">
        <x:v>Riley Morgan</x:v>
      </x:c>
      <x:c r="C40" s="74" t="str">
        <x:v>Package Room</x:v>
      </x:c>
      <x:c r="D40" s="74" t="str">
        <x:v>General Repair</x:v>
      </x:c>
      <x:c r="E40" s="74" t="str">
        <x:v>P2 Urgent</x:v>
      </x:c>
      <x:c r="F40" s="74" t="str">
        <x:v>Tessa Nguyen</x:v>
      </x:c>
      <x:c r="G40" s="74" t="str">
        <x:v>SecureAccess Locksmith</x:v>
      </x:c>
      <x:c r="H40" s="69" t="n">
        <x:v>46236.416666666664</x:v>
      </x:c>
      <x:c r="I40" s="69" t="n">
        <x:v>46236.44583333333</x:v>
      </x:c>
      <x:c r="J40" s="69" t="n">
        <x:f>IF($A40="","",$H40+$S40/24)</x:f>
        <x:v>46237.416666666664</x:v>
      </x:c>
      <x:c r="K40" s="69"/>
      <x:c r="L40" s="26" t="str">
        <x:v>On Hold - Parts</x:v>
      </x:c>
      <x:c r="M40" s="70" t="n">
        <x:v>220</x:v>
      </x:c>
      <x:c r="N40" s="71"/>
      <x:c r="O40" s="72" t="n">
        <x:f>IF($A40="","",MAX(0,IF($K40&lt;&gt;"",$K40-$H40,'Dashboard'!$B$3-$H40)) )</x:f>
        <x:v>2.2916666666715173</x:v>
      </x:c>
      <x:c r="P40" s="72" t="n">
        <x:f>IF(OR($A40="",$I40=""),"",ROUND(($I40-$H40)*24,1))</x:f>
        <x:v>0.7</x:v>
      </x:c>
      <x:c r="Q40" s="72" t="str">
        <x:f>IF(OR($A40="",$K40=""),"",ROUND(($K40-$H40)*24,1))</x:f>
      </x:c>
      <x:c r="R40" s="72" t="n">
        <x:f>IF($A40="","",IFERROR(VLOOKUP($E40,'Lists &amp; SLA'!$A$5:$C$8,2,FALSE),""))</x:f>
        <x:v>0.5</x:v>
      </x:c>
      <x:c r="S40" s="72" t="n">
        <x:f>IF($A40="","",IFERROR(VLOOKUP($E40,'Lists &amp; SLA'!$A$5:$C$8,3,FALSE),""))</x:f>
        <x:v>24</x:v>
      </x:c>
      <x:c r="T40" s="73" t="str">
        <x:f>IF($A40="","",IF($L40="Cancelled","N/A",IF($P40="","Pending",IF($P40&lt;=$R40,"Yes","No"))))</x:f>
        <x:v>No</x:v>
      </x:c>
      <x:c r="U40" s="73" t="str">
        <x:f>IF($A40="","",IF($L40="Cancelled","N/A",IF($K40="","Pending",IF($Q40&lt;=$S40,"Yes","No"))))</x:f>
        <x:v>Pending</x:v>
      </x:c>
      <x:c r="V40" s="73" t="str">
        <x:f>IF($A40="","",IF(OR($L40="Completed",$L40="Cancelled"),"No",IF('Dashboard'!$B$3&gt;$J40,"Yes","No")))</x:f>
        <x:v>Yes</x:v>
      </x:c>
      <x:c r="W40" s="69" t="n">
        <x:v>46236.5</x:v>
      </x:c>
      <x:c r="X40" s="72" t="n">
        <x:f>IF(OR($A40="",$W40=""),"",ROUND(($W40-$H40)*24,1))</x:f>
        <x:v>2</x:v>
      </x:c>
      <x:c r="Y40" s="26" t="str">
        <x:v>Pending</x:v>
      </x:c>
      <x:c r="Z40" s="75" t="str">
        <x:v>Door closer arm failed; expedited part expected August 5.</x:v>
      </x:c>
    </x:row>
    <x:row r="41" ht="27" customHeight="1">
      <x:c r="A41" s="26" t="str">
        <x:v>MR-26037</x:v>
      </x:c>
      <x:c r="B41" s="74" t="str">
        <x:v>Aaliyah Ward</x:v>
      </x:c>
      <x:c r="C41" s="74" t="str">
        <x:v>A-233</x:v>
      </x:c>
      <x:c r="D41" s="74" t="str">
        <x:v>Plumbing</x:v>
      </x:c>
      <x:c r="E41" s="74" t="str">
        <x:v>P4 Low / Planned</x:v>
      </x:c>
      <x:c r="F41" s="74" t="str">
        <x:v>Unassigned</x:v>
      </x:c>
      <x:c r="G41" s="74" t="str">
        <x:v>In-House</x:v>
      </x:c>
      <x:c r="H41" s="69" t="n">
        <x:v>46237.680555555555</x:v>
      </x:c>
      <x:c r="I41" s="69"/>
      <x:c r="J41" s="69" t="n">
        <x:f>IF($A41="","",$H41+$S41/24)</x:f>
        <x:v>46247.680555555555</x:v>
      </x:c>
      <x:c r="K41" s="69"/>
      <x:c r="L41" s="26" t="str">
        <x:v>New</x:v>
      </x:c>
      <x:c r="M41" s="70" t="n">
        <x:v>20</x:v>
      </x:c>
      <x:c r="N41" s="71"/>
      <x:c r="O41" s="72" t="n">
        <x:f>IF($A41="","",MAX(0,IF($K41&lt;&gt;"",$K41-$H41,'Dashboard'!$B$3-$H41)) )</x:f>
        <x:v>1.0277777777810115</x:v>
      </x:c>
      <x:c r="P41" s="72" t="str">
        <x:f>IF(OR($A41="",$I41=""),"",ROUND(($I41-$H41)*24,1))</x:f>
      </x:c>
      <x:c r="Q41" s="72" t="str">
        <x:f>IF(OR($A41="",$K41=""),"",ROUND(($K41-$H41)*24,1))</x:f>
      </x:c>
      <x:c r="R41" s="72" t="n">
        <x:f>IF($A41="","",IFERROR(VLOOKUP($E41,'Lists &amp; SLA'!$A$5:$C$8,2,FALSE),""))</x:f>
        <x:v>8</x:v>
      </x:c>
      <x:c r="S41" s="72" t="n">
        <x:f>IF($A41="","",IFERROR(VLOOKUP($E41,'Lists &amp; SLA'!$A$5:$C$8,3,FALSE),""))</x:f>
        <x:v>240</x:v>
      </x:c>
      <x:c r="T41" s="73" t="str">
        <x:f>IF($A41="","",IF($L41="Cancelled","N/A",IF($P41="","Pending",IF($P41&lt;=$R41,"Yes","No"))))</x:f>
        <x:v>Pending</x:v>
      </x:c>
      <x:c r="U41" s="73" t="str">
        <x:f>IF($A41="","",IF($L41="Cancelled","N/A",IF($K41="","Pending",IF($Q41&lt;=$S41,"Yes","No"))))</x:f>
        <x:v>Pending</x:v>
      </x:c>
      <x:c r="V41" s="73" t="str">
        <x:f>IF($A41="","",IF(OR($L41="Completed",$L41="Cancelled"),"No",IF('Dashboard'!$B$3&gt;$J41,"Yes","No")))</x:f>
        <x:v>No</x:v>
      </x:c>
      <x:c r="W41" s="69"/>
      <x:c r="X41" s="72" t="str">
        <x:f>IF(OR($A41="",$W41=""),"",ROUND(($W41-$H41)*24,1))</x:f>
      </x:c>
      <x:c r="Y41" s="26" t="str">
        <x:v>Pending</x:v>
      </x:c>
      <x:c r="Z41" s="75" t="str">
        <x:v>Resident reports low faucet flow; request queued for morning triage.</x:v>
      </x:c>
    </x:row>
    <x:row r="42" ht="27" customHeight="1">
      <x:c r="A42" s="26" t="str">
        <x:v>MR-26038</x:v>
      </x:c>
      <x:c r="B42" s="74" t="str">
        <x:v>Benjamin Ross</x:v>
      </x:c>
      <x:c r="C42" s="74" t="str">
        <x:v>C-412</x:v>
      </x:c>
      <x:c r="D42" s="74" t="str">
        <x:v>Appliance</x:v>
      </x:c>
      <x:c r="E42" s="74" t="str">
        <x:v>P2 Urgent</x:v>
      </x:c>
      <x:c r="F42" s="74" t="str">
        <x:v>Andre Collins</x:v>
      </x:c>
      <x:c r="G42" s="74" t="str">
        <x:v>In-House</x:v>
      </x:c>
      <x:c r="H42" s="69" t="n">
        <x:v>46238.34027777778</x:v>
      </x:c>
      <x:c r="I42" s="69" t="n">
        <x:v>46238.36111111111</x:v>
      </x:c>
      <x:c r="J42" s="69" t="n">
        <x:f>IF($A42="","",$H42+$S42/24)</x:f>
        <x:v>46239.34027777778</x:v>
      </x:c>
      <x:c r="K42" s="69"/>
      <x:c r="L42" s="26" t="str">
        <x:v>Assigned</x:v>
      </x:c>
      <x:c r="M42" s="70" t="n">
        <x:v>150</x:v>
      </x:c>
      <x:c r="N42" s="71"/>
      <x:c r="O42" s="72" t="n">
        <x:f>IF($A42="","",MAX(0,IF($K42&lt;&gt;"",$K42-$H42,'Dashboard'!$B$3-$H42)) )</x:f>
        <x:v>0.3680555555547471</x:v>
      </x:c>
      <x:c r="P42" s="72" t="n">
        <x:f>IF(OR($A42="",$I42=""),"",ROUND(($I42-$H42)*24,1))</x:f>
        <x:v>0.5</x:v>
      </x:c>
      <x:c r="Q42" s="72" t="str">
        <x:f>IF(OR($A42="",$K42=""),"",ROUND(($K42-$H42)*24,1))</x:f>
      </x:c>
      <x:c r="R42" s="72" t="n">
        <x:f>IF($A42="","",IFERROR(VLOOKUP($E42,'Lists &amp; SLA'!$A$5:$C$8,2,FALSE),""))</x:f>
        <x:v>0.5</x:v>
      </x:c>
      <x:c r="S42" s="72" t="n">
        <x:f>IF($A42="","",IFERROR(VLOOKUP($E42,'Lists &amp; SLA'!$A$5:$C$8,3,FALSE),""))</x:f>
        <x:v>24</x:v>
      </x:c>
      <x:c r="T42" s="73" t="str">
        <x:f>IF($A42="","",IF($L42="Cancelled","N/A",IF($P42="","Pending",IF($P42&lt;=$R42,"Yes","No"))))</x:f>
        <x:v>Yes</x:v>
      </x:c>
      <x:c r="U42" s="73" t="str">
        <x:f>IF($A42="","",IF($L42="Cancelled","N/A",IF($K42="","Pending",IF($Q42&lt;=$S42,"Yes","No"))))</x:f>
        <x:v>Pending</x:v>
      </x:c>
      <x:c r="V42" s="73" t="str">
        <x:f>IF($A42="","",IF(OR($L42="Completed",$L42="Cancelled"),"No",IF('Dashboard'!$B$3&gt;$J42,"Yes","No")))</x:f>
        <x:v>No</x:v>
      </x:c>
      <x:c r="W42" s="69"/>
      <x:c r="X42" s="72" t="str">
        <x:f>IF(OR($A42="",$W42=""),"",ROUND(($W42-$H42)*24,1))</x:f>
      </x:c>
      <x:c r="Y42" s="26" t="str">
        <x:v>Pending</x:v>
      </x:c>
      <x:c r="Z42" s="75" t="str">
        <x:v>Refrigerator cooling concern assigned for same-day diagnostic.</x:v>
      </x:c>
    </x:row>
  </x:sheetData>
  <x:mergeCells>
    <x:mergeCell ref="A1:Z1"/>
    <x:mergeCell ref="A2:Z2"/>
  </x:mergeCells>
  <x:conditionalFormatting sqref="E5:E42">
    <x:cfRule type="expression" dxfId="0" priority="1">
      <x:formula>$E5="P1 Emergency"</x:formula>
    </x:cfRule>
    <x:cfRule type="expression" dxfId="1" priority="2">
      <x:formula>$E5="P2 Urgent"</x:formula>
    </x:cfRule>
    <x:cfRule type="expression" dxfId="2" priority="3">
      <x:formula>$E5="P3 Routine"</x:formula>
    </x:cfRule>
    <x:cfRule type="expression" dxfId="3" priority="4">
      <x:formula>$E5="P4 Low / Planned"</x:formula>
    </x:cfRule>
  </x:conditionalFormatting>
  <x:conditionalFormatting sqref="L5:L42">
    <x:cfRule type="expression" dxfId="4" priority="5">
      <x:formula>$L5="Completed"</x:formula>
    </x:cfRule>
    <x:cfRule type="expression" dxfId="5" priority="6">
      <x:formula>$L5="In Progress"</x:formula>
    </x:cfRule>
    <x:cfRule type="expression" dxfId="6" priority="7">
      <x:formula>LEFT($L5,7)="On Hold"</x:formula>
    </x:cfRule>
    <x:cfRule type="expression" dxfId="7" priority="8">
      <x:formula>$L5="New"</x:formula>
    </x:cfRule>
    <x:cfRule type="expression" dxfId="8" priority="9">
      <x:formula>$L5="Assigned"</x:formula>
    </x:cfRule>
    <x:cfRule type="expression" dxfId="9" priority="10">
      <x:formula>$L5="Cancelled"</x:formula>
    </x:cfRule>
  </x:conditionalFormatting>
  <x:conditionalFormatting sqref="T5:T42">
    <x:cfRule type="expression" dxfId="10" priority="11">
      <x:formula>$T5="Yes"</x:formula>
    </x:cfRule>
    <x:cfRule type="expression" dxfId="11" priority="12">
      <x:formula>$T5="No"</x:formula>
    </x:cfRule>
    <x:cfRule type="expression" dxfId="12" priority="13">
      <x:formula>$T5="Pending"</x:formula>
    </x:cfRule>
    <x:cfRule type="expression" dxfId="13" priority="14">
      <x:formula>$T5="N/A"</x:formula>
    </x:cfRule>
  </x:conditionalFormatting>
  <x:conditionalFormatting sqref="U5:U42">
    <x:cfRule type="expression" dxfId="14" priority="15">
      <x:formula>$U5="Yes"</x:formula>
    </x:cfRule>
    <x:cfRule type="expression" dxfId="15" priority="16">
      <x:formula>$U5="No"</x:formula>
    </x:cfRule>
    <x:cfRule type="expression" dxfId="16" priority="17">
      <x:formula>$U5="Pending"</x:formula>
    </x:cfRule>
    <x:cfRule type="expression" dxfId="17" priority="18">
      <x:formula>$U5="N/A"</x:formula>
    </x:cfRule>
  </x:conditionalFormatting>
  <x:conditionalFormatting sqref="V5:V42">
    <x:cfRule type="expression" dxfId="18" priority="19">
      <x:formula>$V5="Yes"</x:formula>
    </x:cfRule>
  </x:conditionalFormatting>
  <x:conditionalFormatting sqref="Y5:Y42">
    <x:cfRule type="expression" dxfId="19" priority="20">
      <x:formula>$Y5="Yes"</x:formula>
    </x:cfRule>
    <x:cfRule type="expression" dxfId="20" priority="21">
      <x:formula>$Y5="No"</x:formula>
    </x:cfRule>
    <x:cfRule type="expression" dxfId="21" priority="22">
      <x:formula>$Y5="Pending"</x:formula>
    </x:cfRule>
  </x:conditionalFormatting>
  <x:dataValidations count="7">
    <x:dataValidation type="list" sqref="D5:D42">
      <x:formula1>'Lists &amp; SLA'!$G$5:$G$13</x:formula1>
    </x:dataValidation>
    <x:dataValidation type="list" sqref="E5:E42">
      <x:formula1>'Lists &amp; SLA'!$A$5:$A$8</x:formula1>
    </x:dataValidation>
    <x:dataValidation type="list" sqref="F5:F42">
      <x:formula1>'Lists &amp; SLA'!$I$5:$I$9</x:formula1>
    </x:dataValidation>
    <x:dataValidation type="list" sqref="G5:G42">
      <x:formula1>'Lists &amp; SLA'!$K$5:$K$13</x:formula1>
    </x:dataValidation>
    <x:dataValidation type="list" sqref="L5:L42">
      <x:formula1>'Lists &amp; SLA'!$M$5:$M$11</x:formula1>
    </x:dataValidation>
    <x:dataValidation type="whole" operator="between" sqref="N5:N42">
      <x:formula1>1</x:formula1>
      <x:formula2>5</x:formula2>
    </x:dataValidation>
    <x:dataValidation type="list" sqref="Y5:Y42">
      <x:formula1>"Yes,No,Pending,N/A"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4e25b055b74954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21" hidden="0" customWidth="1"/>
    <x:col min="5" max="5" width="13" hidden="0" customWidth="1"/>
    <x:col min="6" max="6" width="14" hidden="0" customWidth="1"/>
    <x:col min="7" max="7" width="14" hidden="0" customWidth="1"/>
    <x:col min="8" max="8" width="19" hidden="0" customWidth="1"/>
    <x:col min="9" max="9" width="28" hidden="0" customWidth="1"/>
    <x:col min="10" max="10" width="13" hidden="0" customWidth="1"/>
    <x:col min="11" max="11" width="15" hidden="0" customWidth="1"/>
    <x:col min="12" max="12" width="12" hidden="0" customWidth="1"/>
    <x:col min="13" max="13" width="13" hidden="0" customWidth="1"/>
    <x:col min="14" max="14" width="44" hidden="0" customWidth="1"/>
  </x:cols>
  <x:sheetData>
    <x:row r="1" ht="31" customHeight="1">
      <x:c r="A1" s="4" t="str">
        <x:v>PACIFIC CREST APARTMENTS | PREVENTIVE MAINTENANCE CALENDAR</x:v>
      </x:c>
      <x:c r="B1" s="4" t="str">
        <x:v>PACIFIC CREST APARTMENTS | PREVENTIVE MAINTENANCE CALENDAR</x:v>
      </x:c>
      <x:c r="C1" s="4" t="str">
        <x:v>PACIFIC CREST APARTMENTS | PREVENTIVE MAINTENANCE CALENDAR</x:v>
      </x:c>
      <x:c r="D1" s="4" t="str">
        <x:v>PACIFIC CREST APARTMENTS | PREVENTIVE MAINTENANCE CALENDAR</x:v>
      </x:c>
      <x:c r="E1" s="4" t="str">
        <x:v>PACIFIC CREST APARTMENTS | PREVENTIVE MAINTENANCE CALENDAR</x:v>
      </x:c>
      <x:c r="F1" s="4" t="str">
        <x:v>PACIFIC CREST APARTMENTS | PREVENTIVE MAINTENANCE CALENDAR</x:v>
      </x:c>
      <x:c r="G1" s="4" t="str">
        <x:v>PACIFIC CREST APARTMENTS | PREVENTIVE MAINTENANCE CALENDAR</x:v>
      </x:c>
      <x:c r="H1" s="4" t="str">
        <x:v>PACIFIC CREST APARTMENTS | PREVENTIVE MAINTENANCE CALENDAR</x:v>
      </x:c>
      <x:c r="I1" s="4" t="str">
        <x:v>PACIFIC CREST APARTMENTS | PREVENTIVE MAINTENANCE CALENDAR</x:v>
      </x:c>
      <x:c r="J1" s="4" t="str">
        <x:v>PACIFIC CREST APARTMENTS | PREVENTIVE MAINTENANCE CALENDAR</x:v>
      </x:c>
      <x:c r="K1" s="4" t="str">
        <x:v>PACIFIC CREST APARTMENTS | PREVENTIVE MAINTENANCE CALENDAR</x:v>
      </x:c>
      <x:c r="L1" s="4" t="str">
        <x:v>PACIFIC CREST APARTMENTS | PREVENTIVE MAINTENANCE CALENDAR</x:v>
      </x:c>
      <x:c r="M1" s="4" t="str">
        <x:v>PACIFIC CREST APARTMENTS | PREVENTIVE MAINTENANCE CALENDAR</x:v>
      </x:c>
      <x:c r="N1" s="4" t="str">
        <x:v>PACIFIC CREST APARTMENTS | PREVENTIVE MAINTENANCE CALENDAR</x:v>
      </x:c>
    </x:row>
    <x:row r="2" ht="28" customHeight="1">
      <x:c r="A2" s="9" t="str">
        <x:v>Recurring asset inspections and service events. Next-due dates are calculated from the frequency assumptions on the Lists &amp; SLA sheet.</x:v>
      </x:c>
      <x:c r="B2" s="9" t="str">
        <x:v>Recurring asset inspections and service events. Next-due dates are calculated from the frequency assumptions on the Lists &amp; SLA sheet.</x:v>
      </x:c>
      <x:c r="C2" s="9" t="str">
        <x:v>Recurring asset inspections and service events. Next-due dates are calculated from the frequency assumptions on the Lists &amp; SLA sheet.</x:v>
      </x:c>
      <x:c r="D2" s="9" t="str">
        <x:v>Recurring asset inspections and service events. Next-due dates are calculated from the frequency assumptions on the Lists &amp; SLA sheet.</x:v>
      </x:c>
      <x:c r="E2" s="9" t="str">
        <x:v>Recurring asset inspections and service events. Next-due dates are calculated from the frequency assumptions on the Lists &amp; SLA sheet.</x:v>
      </x:c>
      <x:c r="F2" s="9" t="str">
        <x:v>Recurring asset inspections and service events. Next-due dates are calculated from the frequency assumptions on the Lists &amp; SLA sheet.</x:v>
      </x:c>
      <x:c r="G2" s="9" t="str">
        <x:v>Recurring asset inspections and service events. Next-due dates are calculated from the frequency assumptions on the Lists &amp; SLA sheet.</x:v>
      </x:c>
      <x:c r="H2" s="9" t="str">
        <x:v>Recurring asset inspections and service events. Next-due dates are calculated from the frequency assumptions on the Lists &amp; SLA sheet.</x:v>
      </x:c>
      <x:c r="I2" s="9" t="str">
        <x:v>Recurring asset inspections and service events. Next-due dates are calculated from the frequency assumptions on the Lists &amp; SLA sheet.</x:v>
      </x:c>
      <x:c r="J2" s="9" t="str">
        <x:v>Recurring asset inspections and service events. Next-due dates are calculated from the frequency assumptions on the Lists &amp; SLA sheet.</x:v>
      </x:c>
      <x:c r="K2" s="9" t="str">
        <x:v>Recurring asset inspections and service events. Next-due dates are calculated from the frequency assumptions on the Lists &amp; SLA sheet.</x:v>
      </x:c>
      <x:c r="L2" s="9" t="str">
        <x:v>Recurring asset inspections and service events. Next-due dates are calculated from the frequency assumptions on the Lists &amp; SLA sheet.</x:v>
      </x:c>
      <x:c r="M2" s="9" t="str">
        <x:v>Recurring asset inspections and service events. Next-due dates are calculated from the frequency assumptions on the Lists &amp; SLA sheet.</x:v>
      </x:c>
      <x:c r="N2" s="9" t="str">
        <x:v>Recurring asset inspections and service events. Next-due dates are calculated from the frequency assumptions on the Lists &amp; SLA sheet.</x:v>
      </x:c>
    </x:row>
    <x:row r="4" ht="36" customHeight="1">
      <x:c r="A4" s="21" t="str">
        <x:v>PM ID</x:v>
      </x:c>
      <x:c r="B4" s="22" t="str">
        <x:v>Area / Unit</x:v>
      </x:c>
      <x:c r="C4" s="22" t="str">
        <x:v>Asset / Equipment</x:v>
      </x:c>
      <x:c r="D4" s="22" t="str">
        <x:v>Category</x:v>
      </x:c>
      <x:c r="E4" s="22" t="str">
        <x:v>Frequency</x:v>
      </x:c>
      <x:c r="F4" s="22" t="str">
        <x:v>Last Service</x:v>
      </x:c>
      <x:c r="G4" s="22" t="str">
        <x:v>Next Due</x:v>
      </x:c>
      <x:c r="H4" s="22" t="str">
        <x:v>Assigned To</x:v>
      </x:c>
      <x:c r="I4" s="22" t="str">
        <x:v>Vendor / Team</x:v>
      </x:c>
      <x:c r="J4" s="22" t="str">
        <x:v>Status</x:v>
      </x:c>
      <x:c r="K4" s="22" t="str">
        <x:v>Completion Date</x:v>
      </x:c>
      <x:c r="L4" s="22" t="str">
        <x:v>Days to Due</x:v>
      </x:c>
      <x:c r="M4" s="22" t="str">
        <x:v>Risk Flag</x:v>
      </x:c>
      <x:c r="N4" s="23" t="str">
        <x:v>Service Notes</x:v>
      </x:c>
    </x:row>
    <x:row r="5" ht="30" customHeight="1">
      <x:c r="A5" s="26" t="str">
        <x:v>PM-001</x:v>
      </x:c>
      <x:c r="B5" s="26" t="str">
        <x:v>Roof A</x:v>
      </x:c>
      <x:c r="C5" s="26" t="str">
        <x:v>Rooftop HVAC Unit 1</x:v>
      </x:c>
      <x:c r="D5" s="26" t="str">
        <x:v>HVAC</x:v>
      </x:c>
      <x:c r="E5" s="26" t="str">
        <x:v>Quarterly</x:v>
      </x:c>
      <x:c r="F5" s="79" t="n">
        <x:v>46157</x:v>
      </x:c>
      <x:c r="G5" s="80" t="n">
        <x:f>IF($A5="","",IF($K5&lt;&gt;"",$K5,$F5)+IFERROR(VLOOKUP($E5,'Lists &amp; SLA'!$O$5:$P$8,2,FALSE),0))</x:f>
        <x:v>46326</x:v>
      </x:c>
      <x:c r="H5" s="26" t="str">
        <x:v>Maya Patel</x:v>
      </x:c>
      <x:c r="I5" s="26" t="str">
        <x:v>Harbor HVAC &amp; Mechanical</x:v>
      </x:c>
      <x:c r="J5" s="26" t="str">
        <x:v>Completed</x:v>
      </x:c>
      <x:c r="K5" s="79" t="n">
        <x:v>46236</x:v>
      </x:c>
      <x:c r="L5" s="81" t="n">
        <x:f>IF($A5="","",$G5-'Dashboard'!$B$3)</x:f>
        <x:v>87.29166666666424</x:v>
      </x:c>
      <x:c r="M5" s="73" t="str">
        <x:f>IF($A5="","",IF($J5="Completed","Complete",IF($L5&lt;0,"Overdue",IF($L5&lt;=14,"Due Soon","On Track"))))</x:f>
        <x:v>Complete</x:v>
      </x:c>
      <x:c r="N5" s="75" t="str">
        <x:v>Coils, belts, filters, condensate drain, and amp draw.</x:v>
      </x:c>
    </x:row>
    <x:row r="6" ht="30" customHeight="1">
      <x:c r="A6" s="26" t="str">
        <x:v>PM-002</x:v>
      </x:c>
      <x:c r="B6" s="26" t="str">
        <x:v>Roof B</x:v>
      </x:c>
      <x:c r="C6" s="26" t="str">
        <x:v>Rooftop HVAC Unit 2</x:v>
      </x:c>
      <x:c r="D6" s="26" t="str">
        <x:v>HVAC</x:v>
      </x:c>
      <x:c r="E6" s="26" t="str">
        <x:v>Quarterly</x:v>
      </x:c>
      <x:c r="F6" s="79" t="n">
        <x:v>46164</x:v>
      </x:c>
      <x:c r="G6" s="80" t="n">
        <x:f>IF($A6="","",IF($K6&lt;&gt;"",$K6,$F6)+IFERROR(VLOOKUP($E6,'Lists &amp; SLA'!$O$5:$P$8,2,FALSE),0))</x:f>
        <x:v>46254</x:v>
      </x:c>
      <x:c r="H6" s="26" t="str">
        <x:v>Maya Patel</x:v>
      </x:c>
      <x:c r="I6" s="26" t="str">
        <x:v>Harbor HVAC &amp; Mechanical</x:v>
      </x:c>
      <x:c r="J6" s="26" t="str">
        <x:v>Planned</x:v>
      </x:c>
      <x:c r="K6" s="79"/>
      <x:c r="L6" s="81" t="n">
        <x:f>IF($A6="","",$G6-'Dashboard'!$B$3)</x:f>
        <x:v>15.291666666664241</x:v>
      </x:c>
      <x:c r="M6" s="73" t="str">
        <x:f>IF($A6="","",IF($J6="Completed","Complete",IF($L6&lt;0,"Overdue",IF($L6&lt;=14,"Due Soon","On Track"))))</x:f>
        <x:v>On Track</x:v>
      </x:c>
      <x:c r="N6" s="75" t="str">
        <x:v>Seasonal cooling inspection and filter replacement.</x:v>
      </x:c>
    </x:row>
    <x:row r="7" ht="30" customHeight="1">
      <x:c r="A7" s="26" t="str">
        <x:v>PM-003</x:v>
      </x:c>
      <x:c r="B7" s="26" t="str">
        <x:v>Building A</x:v>
      </x:c>
      <x:c r="C7" s="26" t="str">
        <x:v>Passenger Elevator</x:v>
      </x:c>
      <x:c r="D7" s="26" t="str">
        <x:v>Safety / Security</x:v>
      </x:c>
      <x:c r="E7" s="26" t="str">
        <x:v>Annual</x:v>
      </x:c>
      <x:c r="F7" s="79" t="n">
        <x:v>45881</x:v>
      </x:c>
      <x:c r="G7" s="80" t="n">
        <x:f>IF($A7="","",IF($K7&lt;&gt;"",$K7,$F7)+IFERROR(VLOOKUP($E7,'Lists &amp; SLA'!$O$5:$P$8,2,FALSE),0))</x:f>
        <x:v>46246</x:v>
      </x:c>
      <x:c r="H7" s="26" t="str">
        <x:v>Tessa Nguyen</x:v>
      </x:c>
      <x:c r="I7" s="26" t="str">
        <x:v>West Coast Elevator</x:v>
      </x:c>
      <x:c r="J7" s="26" t="str">
        <x:v>Scheduled</x:v>
      </x:c>
      <x:c r="K7" s="79"/>
      <x:c r="L7" s="81" t="n">
        <x:f>IF($A7="","",$G7-'Dashboard'!$B$3)</x:f>
        <x:v>7.291666666664241</x:v>
      </x:c>
      <x:c r="M7" s="73" t="str">
        <x:f>IF($A7="","",IF($J7="Completed","Complete",IF($L7&lt;0,"Overdue",IF($L7&lt;=14,"Due Soon","On Track"))))</x:f>
        <x:v>Due Soon</x:v>
      </x:c>
      <x:c r="N7" s="75" t="str">
        <x:v>Annual safety test coordinated with licensed elevator vendor.</x:v>
      </x:c>
    </x:row>
    <x:row r="8" ht="30" customHeight="1">
      <x:c r="A8" s="26" t="str">
        <x:v>PM-004</x:v>
      </x:c>
      <x:c r="B8" s="26" t="str">
        <x:v>Fire Control Room</x:v>
      </x:c>
      <x:c r="C8" s="26" t="str">
        <x:v>Fire Alarm Panel</x:v>
      </x:c>
      <x:c r="D8" s="26" t="str">
        <x:v>Safety / Security</x:v>
      </x:c>
      <x:c r="E8" s="26" t="str">
        <x:v>Annual</x:v>
      </x:c>
      <x:c r="F8" s="79" t="n">
        <x:v>45915</x:v>
      </x:c>
      <x:c r="G8" s="80" t="n">
        <x:f>IF($A8="","",IF($K8&lt;&gt;"",$K8,$F8)+IFERROR(VLOOKUP($E8,'Lists &amp; SLA'!$O$5:$P$8,2,FALSE),0))</x:f>
        <x:v>46280</x:v>
      </x:c>
      <x:c r="H8" s="26" t="str">
        <x:v>Tessa Nguyen</x:v>
      </x:c>
      <x:c r="I8" s="26" t="str">
        <x:v>Seaside Electrical</x:v>
      </x:c>
      <x:c r="J8" s="26" t="str">
        <x:v>Planned</x:v>
      </x:c>
      <x:c r="K8" s="79"/>
      <x:c r="L8" s="81" t="n">
        <x:f>IF($A8="","",$G8-'Dashboard'!$B$3)</x:f>
        <x:v>41.29166666666424</x:v>
      </x:c>
      <x:c r="M8" s="73" t="str">
        <x:f>IF($A8="","",IF($J8="Completed","Complete",IF($L8&lt;0,"Overdue",IF($L8&lt;=14,"Due Soon","On Track"))))</x:f>
        <x:v>On Track</x:v>
      </x:c>
      <x:c r="N8" s="75" t="str">
        <x:v>Panel, annunciators, pull stations, and notification devices.</x:v>
      </x:c>
    </x:row>
    <x:row r="9" ht="30" customHeight="1">
      <x:c r="A9" s="26" t="str">
        <x:v>PM-005</x:v>
      </x:c>
      <x:c r="B9" s="26" t="str">
        <x:v>Pool</x:v>
      </x:c>
      <x:c r="C9" s="26" t="str">
        <x:v>Pool Pump &amp; Chemical Controller</x:v>
      </x:c>
      <x:c r="D9" s="26" t="str">
        <x:v>Exterior / Common Area</x:v>
      </x:c>
      <x:c r="E9" s="26" t="str">
        <x:v>Monthly</x:v>
      </x:c>
      <x:c r="F9" s="79" t="n">
        <x:v>46221</x:v>
      </x:c>
      <x:c r="G9" s="80" t="n">
        <x:f>IF($A9="","",IF($K9&lt;&gt;"",$K9,$F9)+IFERROR(VLOOKUP($E9,'Lists &amp; SLA'!$O$5:$P$8,2,FALSE),0))</x:f>
        <x:v>46251</x:v>
      </x:c>
      <x:c r="H9" s="26" t="str">
        <x:v>Andre Collins</x:v>
      </x:c>
      <x:c r="I9" s="26" t="str">
        <x:v>In-House</x:v>
      </x:c>
      <x:c r="J9" s="26" t="str">
        <x:v>Completed</x:v>
      </x:c>
      <x:c r="K9" s="79" t="n">
        <x:v>46221</x:v>
      </x:c>
      <x:c r="L9" s="81" t="n">
        <x:f>IF($A9="","",$G9-'Dashboard'!$B$3)</x:f>
        <x:v>12.291666666664241</x:v>
      </x:c>
      <x:c r="M9" s="73" t="str">
        <x:f>IF($A9="","",IF($J9="Completed","Complete",IF($L9&lt;0,"Overdue",IF($L9&lt;=14,"Due Soon","On Track"))))</x:f>
        <x:v>Complete</x:v>
      </x:c>
      <x:c r="N9" s="75" t="str">
        <x:v>Inspect pump pressure, chemical controller, and equipment enclosure.</x:v>
      </x:c>
    </x:row>
    <x:row r="10" ht="30" customHeight="1">
      <x:c r="A10" s="26" t="str">
        <x:v>PM-006</x:v>
      </x:c>
      <x:c r="B10" s="26" t="str">
        <x:v>Mechanical Room B</x:v>
      </x:c>
      <x:c r="C10" s="26" t="str">
        <x:v>Domestic Water Heaters</x:v>
      </x:c>
      <x:c r="D10" s="26" t="str">
        <x:v>Plumbing</x:v>
      </x:c>
      <x:c r="E10" s="26" t="str">
        <x:v>Quarterly</x:v>
      </x:c>
      <x:c r="F10" s="79" t="n">
        <x:v>46143</x:v>
      </x:c>
      <x:c r="G10" s="80" t="n">
        <x:f>IF($A10="","",IF($K10&lt;&gt;"",$K10,$F10)+IFERROR(VLOOKUP($E10,'Lists &amp; SLA'!$O$5:$P$8,2,FALSE),0))</x:f>
        <x:v>46233</x:v>
      </x:c>
      <x:c r="H10" s="26" t="str">
        <x:v>Luis Hernandez</x:v>
      </x:c>
      <x:c r="I10" s="26" t="str">
        <x:v>Coastal Plumbing Services</x:v>
      </x:c>
      <x:c r="J10" s="26" t="str">
        <x:v>Deferred</x:v>
      </x:c>
      <x:c r="K10" s="79"/>
      <x:c r="L10" s="81" t="n">
        <x:f>IF($A10="","",$G10-'Dashboard'!$B$3)</x:f>
        <x:v>-5.708333333335759</x:v>
      </x:c>
      <x:c r="M10" s="73" t="str">
        <x:f>IF($A10="","",IF($J10="Completed","Complete",IF($L10&lt;0,"Overdue",IF($L10&lt;=14,"Due Soon","On Track"))))</x:f>
        <x:v>Overdue</x:v>
      </x:c>
      <x:c r="N10" s="75" t="str">
        <x:v>Flush sediment and inspect pumps, valves, and expansion tanks.</x:v>
      </x:c>
    </x:row>
    <x:row r="11" ht="30" customHeight="1">
      <x:c r="A11" s="26" t="str">
        <x:v>PM-007</x:v>
      </x:c>
      <x:c r="B11" s="26" t="str">
        <x:v>Garage Entry</x:v>
      </x:c>
      <x:c r="C11" s="26" t="str">
        <x:v>Vehicle Access Gate</x:v>
      </x:c>
      <x:c r="D11" s="26" t="str">
        <x:v>Safety / Security</x:v>
      </x:c>
      <x:c r="E11" s="26" t="str">
        <x:v>Quarterly</x:v>
      </x:c>
      <x:c r="F11" s="79" t="n">
        <x:v>46152</x:v>
      </x:c>
      <x:c r="G11" s="80" t="n">
        <x:f>IF($A11="","",IF($K11&lt;&gt;"",$K11,$F11)+IFERROR(VLOOKUP($E11,'Lists &amp; SLA'!$O$5:$P$8,2,FALSE),0))</x:f>
        <x:v>46242</x:v>
      </x:c>
      <x:c r="H11" s="26" t="str">
        <x:v>Tessa Nguyen</x:v>
      </x:c>
      <x:c r="I11" s="26" t="str">
        <x:v>SecureAccess Locksmith</x:v>
      </x:c>
      <x:c r="J11" s="26" t="str">
        <x:v>Scheduled</x:v>
      </x:c>
      <x:c r="K11" s="79"/>
      <x:c r="L11" s="81" t="n">
        <x:f>IF($A11="","",$G11-'Dashboard'!$B$3)</x:f>
        <x:v>3.2916666666642413</x:v>
      </x:c>
      <x:c r="M11" s="73" t="str">
        <x:f>IF($A11="","",IF($J11="Completed","Complete",IF($L11&lt;0,"Overdue",IF($L11&lt;=14,"Due Soon","On Track"))))</x:f>
        <x:v>Due Soon</x:v>
      </x:c>
      <x:c r="N11" s="75" t="str">
        <x:v>Test loops, photo eyes, safety edge, and manual release.</x:v>
      </x:c>
    </x:row>
    <x:row r="12" ht="30" customHeight="1">
      <x:c r="A12" s="26" t="str">
        <x:v>PM-008</x:v>
      </x:c>
      <x:c r="B12" s="26" t="str">
        <x:v>Perimeter</x:v>
      </x:c>
      <x:c r="C12" s="26" t="str">
        <x:v>Exterior Pest Barrier</x:v>
      </x:c>
      <x:c r="D12" s="26" t="str">
        <x:v>Pest Control</x:v>
      </x:c>
      <x:c r="E12" s="26" t="str">
        <x:v>Monthly</x:v>
      </x:c>
      <x:c r="F12" s="79" t="n">
        <x:v>46213</x:v>
      </x:c>
      <x:c r="G12" s="80" t="n">
        <x:f>IF($A12="","",IF($K12&lt;&gt;"",$K12,$F12)+IFERROR(VLOOKUP($E12,'Lists &amp; SLA'!$O$5:$P$8,2,FALSE),0))</x:f>
        <x:v>46265</x:v>
      </x:c>
      <x:c r="H12" s="26" t="str">
        <x:v>Tessa Nguyen</x:v>
      </x:c>
      <x:c r="I12" s="26" t="str">
        <x:v>Pacific Pest Solutions</x:v>
      </x:c>
      <x:c r="J12" s="26" t="str">
        <x:v>Completed</x:v>
      </x:c>
      <x:c r="K12" s="79" t="n">
        <x:v>46235</x:v>
      </x:c>
      <x:c r="L12" s="81" t="n">
        <x:f>IF($A12="","",$G12-'Dashboard'!$B$3)</x:f>
        <x:v>26.29166666666424</x:v>
      </x:c>
      <x:c r="M12" s="73" t="str">
        <x:f>IF($A12="","",IF($J12="Completed","Complete",IF($L12&lt;0,"Overdue",IF($L12&lt;=14,"Due Soon","On Track"))))</x:f>
        <x:v>Complete</x:v>
      </x:c>
      <x:c r="N12" s="75" t="str">
        <x:v>Exterior treatment with focus on refuse and landscape zones.</x:v>
      </x:c>
    </x:row>
    <x:row r="13" ht="30" customHeight="1">
      <x:c r="A13" s="26" t="str">
        <x:v>PM-009</x:v>
      </x:c>
      <x:c r="B13" s="26" t="str">
        <x:v>Laundry Rooms</x:v>
      </x:c>
      <x:c r="C13" s="26" t="str">
        <x:v>Dryer Exhaust System</x:v>
      </x:c>
      <x:c r="D13" s="26" t="str">
        <x:v>Preventive Maintenance</x:v>
      </x:c>
      <x:c r="E13" s="26" t="str">
        <x:v>Semiannual</x:v>
      </x:c>
      <x:c r="F13" s="79" t="n">
        <x:v>46068</x:v>
      </x:c>
      <x:c r="G13" s="80" t="n">
        <x:f>IF($A13="","",IF($K13&lt;&gt;"",$K13,$F13)+IFERROR(VLOOKUP($E13,'Lists &amp; SLA'!$O$5:$P$8,2,FALSE),0))</x:f>
        <x:v>46250</x:v>
      </x:c>
      <x:c r="H13" s="26" t="str">
        <x:v>Andre Collins</x:v>
      </x:c>
      <x:c r="I13" s="26" t="str">
        <x:v>BrightSide Cleaning</x:v>
      </x:c>
      <x:c r="J13" s="26" t="str">
        <x:v>Scheduled</x:v>
      </x:c>
      <x:c r="K13" s="79"/>
      <x:c r="L13" s="81" t="n">
        <x:f>IF($A13="","",$G13-'Dashboard'!$B$3)</x:f>
        <x:v>11.291666666664241</x:v>
      </x:c>
      <x:c r="M13" s="73" t="str">
        <x:f>IF($A13="","",IF($J13="Completed","Complete",IF($L13&lt;0,"Overdue",IF($L13&lt;=14,"Due Soon","On Track"))))</x:f>
        <x:v>Due Soon</x:v>
      </x:c>
      <x:c r="N13" s="75" t="str">
        <x:v>Vacuum ducts, inspect terminations, and document airflow.</x:v>
      </x:c>
    </x:row>
    <x:row r="14" ht="30" customHeight="1">
      <x:c r="A14" s="26" t="str">
        <x:v>PM-010</x:v>
      </x:c>
      <x:c r="B14" s="26" t="str">
        <x:v>Roof Drains</x:v>
      </x:c>
      <x:c r="C14" s="26" t="str">
        <x:v>Roof Drain &amp; Scupper Inspection</x:v>
      </x:c>
      <x:c r="D14" s="26" t="str">
        <x:v>Exterior / Common Area</x:v>
      </x:c>
      <x:c r="E14" s="26" t="str">
        <x:v>Semiannual</x:v>
      </x:c>
      <x:c r="F14" s="79" t="n">
        <x:v>46054</x:v>
      </x:c>
      <x:c r="G14" s="80" t="n">
        <x:f>IF($A14="","",IF($K14&lt;&gt;"",$K14,$F14)+IFERROR(VLOOKUP($E14,'Lists &amp; SLA'!$O$5:$P$8,2,FALSE),0))</x:f>
        <x:v>46236</x:v>
      </x:c>
      <x:c r="H14" s="26" t="str">
        <x:v>Andre Collins</x:v>
      </x:c>
      <x:c r="I14" s="26" t="str">
        <x:v>Apex Restoration</x:v>
      </x:c>
      <x:c r="J14" s="26" t="str">
        <x:v>Planned</x:v>
      </x:c>
      <x:c r="K14" s="79"/>
      <x:c r="L14" s="81" t="n">
        <x:f>IF($A14="","",$G14-'Dashboard'!$B$3)</x:f>
        <x:v>-2.7083333333357587</x:v>
      </x:c>
      <x:c r="M14" s="73" t="str">
        <x:f>IF($A14="","",IF($J14="Completed","Complete",IF($L14&lt;0,"Overdue",IF($L14&lt;=14,"Due Soon","On Track"))))</x:f>
        <x:v>Overdue</x:v>
      </x:c>
      <x:c r="N14" s="75" t="str">
        <x:v>Clear debris and photograph drain, scupper, and seal conditions.</x:v>
      </x:c>
    </x:row>
    <x:row r="15" ht="30" customHeight="1">
      <x:c r="A15" s="26" t="str">
        <x:v>PM-011</x:v>
      </x:c>
      <x:c r="B15" s="26" t="str">
        <x:v>All Buildings</x:v>
      </x:c>
      <x:c r="C15" s="26" t="str">
        <x:v>Emergency Lighting</x:v>
      </x:c>
      <x:c r="D15" s="26" t="str">
        <x:v>Safety / Security</x:v>
      </x:c>
      <x:c r="E15" s="26" t="str">
        <x:v>Quarterly</x:v>
      </x:c>
      <x:c r="F15" s="79" t="n">
        <x:v>46147</x:v>
      </x:c>
      <x:c r="G15" s="80" t="n">
        <x:f>IF($A15="","",IF($K15&lt;&gt;"",$K15,$F15)+IFERROR(VLOOKUP($E15,'Lists &amp; SLA'!$O$5:$P$8,2,FALSE),0))</x:f>
        <x:v>46327</x:v>
      </x:c>
      <x:c r="H15" s="26" t="str">
        <x:v>Maya Patel</x:v>
      </x:c>
      <x:c r="I15" s="26" t="str">
        <x:v>Seaside Electrical</x:v>
      </x:c>
      <x:c r="J15" s="26" t="str">
        <x:v>Completed</x:v>
      </x:c>
      <x:c r="K15" s="79" t="n">
        <x:v>46237</x:v>
      </x:c>
      <x:c r="L15" s="81" t="n">
        <x:f>IF($A15="","",$G15-'Dashboard'!$B$3)</x:f>
        <x:v>88.29166666666424</x:v>
      </x:c>
      <x:c r="M15" s="73" t="str">
        <x:f>IF($A15="","",IF($J15="Completed","Complete",IF($L15&lt;0,"Overdue",IF($L15&lt;=14,"Due Soon","On Track"))))</x:f>
        <x:v>Complete</x:v>
      </x:c>
      <x:c r="N15" s="75" t="str">
        <x:v>90-minute functional test and battery replacement log.</x:v>
      </x:c>
    </x:row>
    <x:row r="16" ht="30" customHeight="1">
      <x:c r="A16" s="26" t="str">
        <x:v>PM-012</x:v>
      </x:c>
      <x:c r="B16" s="26" t="str">
        <x:v>Service Yard</x:v>
      </x:c>
      <x:c r="C16" s="26" t="str">
        <x:v>Backflow Prevention Assembly</x:v>
      </x:c>
      <x:c r="D16" s="26" t="str">
        <x:v>Plumbing</x:v>
      </x:c>
      <x:c r="E16" s="26" t="str">
        <x:v>Annual</x:v>
      </x:c>
      <x:c r="F16" s="79" t="n">
        <x:v>45981</x:v>
      </x:c>
      <x:c r="G16" s="80" t="n">
        <x:f>IF($A16="","",IF($K16&lt;&gt;"",$K16,$F16)+IFERROR(VLOOKUP($E16,'Lists &amp; SLA'!$O$5:$P$8,2,FALSE),0))</x:f>
        <x:v>46346</x:v>
      </x:c>
      <x:c r="H16" s="26" t="str">
        <x:v>Luis Hernandez</x:v>
      </x:c>
      <x:c r="I16" s="26" t="str">
        <x:v>Coastal Plumbing Services</x:v>
      </x:c>
      <x:c r="J16" s="26" t="str">
        <x:v>Planned</x:v>
      </x:c>
      <x:c r="K16" s="79"/>
      <x:c r="L16" s="81" t="n">
        <x:f>IF($A16="","",$G16-'Dashboard'!$B$3)</x:f>
        <x:v>107.29166666666424</x:v>
      </x:c>
      <x:c r="M16" s="73" t="str">
        <x:f>IF($A16="","",IF($J16="Completed","Complete",IF($L16&lt;0,"Overdue",IF($L16&lt;=14,"Due Soon","On Track"))))</x:f>
        <x:v>On Track</x:v>
      </x:c>
      <x:c r="N16" s="75" t="str">
        <x:v>Annual certified test and city filing.</x:v>
      </x:c>
    </x:row>
    <x:row r="17" ht="30" customHeight="1">
      <x:c r="A17" s="26" t="str">
        <x:v>PM-013</x:v>
      </x:c>
      <x:c r="B17" s="26" t="str">
        <x:v>Electrical Room</x:v>
      </x:c>
      <x:c r="C17" s="26" t="str">
        <x:v>Emergency Generator</x:v>
      </x:c>
      <x:c r="D17" s="26" t="str">
        <x:v>Electrical</x:v>
      </x:c>
      <x:c r="E17" s="26" t="str">
        <x:v>Monthly</x:v>
      </x:c>
      <x:c r="F17" s="79" t="n">
        <x:v>46223</x:v>
      </x:c>
      <x:c r="G17" s="80" t="n">
        <x:f>IF($A17="","",IF($K17&lt;&gt;"",$K17,$F17)+IFERROR(VLOOKUP($E17,'Lists &amp; SLA'!$O$5:$P$8,2,FALSE),0))</x:f>
        <x:v>46253</x:v>
      </x:c>
      <x:c r="H17" s="26" t="str">
        <x:v>Maya Patel</x:v>
      </x:c>
      <x:c r="I17" s="26" t="str">
        <x:v>Seaside Electrical</x:v>
      </x:c>
      <x:c r="J17" s="26" t="str">
        <x:v>Completed</x:v>
      </x:c>
      <x:c r="K17" s="79" t="n">
        <x:v>46223</x:v>
      </x:c>
      <x:c r="L17" s="81" t="n">
        <x:f>IF($A17="","",$G17-'Dashboard'!$B$3)</x:f>
        <x:v>14.291666666664241</x:v>
      </x:c>
      <x:c r="M17" s="73" t="str">
        <x:f>IF($A17="","",IF($J17="Completed","Complete",IF($L17&lt;0,"Overdue",IF($L17&lt;=14,"Due Soon","On Track"))))</x:f>
        <x:v>Complete</x:v>
      </x:c>
      <x:c r="N17" s="75" t="str">
        <x:v>Exercise unit under load; record voltage, oil, and battery readings.</x:v>
      </x:c>
    </x:row>
    <x:row r="18" ht="30" customHeight="1">
      <x:c r="A18" s="26" t="str">
        <x:v>PM-014</x:v>
      </x:c>
      <x:c r="B18" s="26" t="str">
        <x:v>Courtyard</x:v>
      </x:c>
      <x:c r="C18" s="26" t="str">
        <x:v>Playground Equipment</x:v>
      </x:c>
      <x:c r="D18" s="26" t="str">
        <x:v>Safety / Security</x:v>
      </x:c>
      <x:c r="E18" s="26" t="str">
        <x:v>Monthly</x:v>
      </x:c>
      <x:c r="F18" s="79" t="n">
        <x:v>46233</x:v>
      </x:c>
      <x:c r="G18" s="80" t="n">
        <x:f>IF($A18="","",IF($K18&lt;&gt;"",$K18,$F18)+IFERROR(VLOOKUP($E18,'Lists &amp; SLA'!$O$5:$P$8,2,FALSE),0))</x:f>
        <x:v>46263</x:v>
      </x:c>
      <x:c r="H18" s="26" t="str">
        <x:v>Andre Collins</x:v>
      </x:c>
      <x:c r="I18" s="26" t="str">
        <x:v>In-House</x:v>
      </x:c>
      <x:c r="J18" s="26" t="str">
        <x:v>Completed</x:v>
      </x:c>
      <x:c r="K18" s="79" t="n">
        <x:v>46233</x:v>
      </x:c>
      <x:c r="L18" s="81" t="n">
        <x:f>IF($A18="","",$G18-'Dashboard'!$B$3)</x:f>
        <x:v>24.29166666666424</x:v>
      </x:c>
      <x:c r="M18" s="73" t="str">
        <x:f>IF($A18="","",IF($J18="Completed","Complete",IF($L18&lt;0,"Overdue",IF($L18&lt;=14,"Due Soon","On Track"))))</x:f>
        <x:v>Complete</x:v>
      </x:c>
      <x:c r="N18" s="75" t="str">
        <x:v>Check fasteners, fall surface, sharp edges, and clearances.</x:v>
      </x:c>
    </x:row>
    <x:row r="19" ht="30" customHeight="1">
      <x:c r="A19" s="26" t="str">
        <x:v>PM-015</x:v>
      </x:c>
      <x:c r="B19" s="26" t="str">
        <x:v>Unit C-314</x:v>
      </x:c>
      <x:c r="C19" s="26" t="str">
        <x:v>Fan Coil / Filter</x:v>
      </x:c>
      <x:c r="D19" s="26" t="str">
        <x:v>HVAC</x:v>
      </x:c>
      <x:c r="E19" s="26" t="str">
        <x:v>Quarterly</x:v>
      </x:c>
      <x:c r="F19" s="79" t="n">
        <x:v>46167</x:v>
      </x:c>
      <x:c r="G19" s="80" t="n">
        <x:f>IF($A19="","",IF($K19&lt;&gt;"",$K19,$F19)+IFERROR(VLOOKUP($E19,'Lists &amp; SLA'!$O$5:$P$8,2,FALSE),0))</x:f>
        <x:v>46325</x:v>
      </x:c>
      <x:c r="H19" s="26" t="str">
        <x:v>Maya Patel</x:v>
      </x:c>
      <x:c r="I19" s="26" t="str">
        <x:v>In-House</x:v>
      </x:c>
      <x:c r="J19" s="26" t="str">
        <x:v>Completed</x:v>
      </x:c>
      <x:c r="K19" s="79" t="n">
        <x:v>46235</x:v>
      </x:c>
      <x:c r="L19" s="81" t="n">
        <x:f>IF($A19="","",$G19-'Dashboard'!$B$3)</x:f>
        <x:v>86.29166666666424</x:v>
      </x:c>
      <x:c r="M19" s="73" t="str">
        <x:f>IF($A19="","",IF($J19="Completed","Complete",IF($L19&lt;0,"Overdue",IF($L19&lt;=14,"Due Soon","On Track"))))</x:f>
        <x:v>Complete</x:v>
      </x:c>
      <x:c r="N19" s="75" t="str">
        <x:v>Resident-access filter change and condensate inspection.</x:v>
      </x:c>
    </x:row>
    <x:row r="20" ht="30" customHeight="1">
      <x:c r="A20" s="26" t="str">
        <x:v>PM-016</x:v>
      </x:c>
      <x:c r="B20" s="26" t="str">
        <x:v>Unit A-118</x:v>
      </x:c>
      <x:c r="C20" s="26" t="str">
        <x:v>Smoke Detector</x:v>
      </x:c>
      <x:c r="D20" s="26" t="str">
        <x:v>Safety / Security</x:v>
      </x:c>
      <x:c r="E20" s="26" t="str">
        <x:v>Annual</x:v>
      </x:c>
      <x:c r="F20" s="79" t="n">
        <x:v>46231</x:v>
      </x:c>
      <x:c r="G20" s="80" t="n">
        <x:f>IF($A20="","",IF($K20&lt;&gt;"",$K20,$F20)+IFERROR(VLOOKUP($E20,'Lists &amp; SLA'!$O$5:$P$8,2,FALSE),0))</x:f>
        <x:v>46596</x:v>
      </x:c>
      <x:c r="H20" s="26" t="str">
        <x:v>Andre Collins</x:v>
      </x:c>
      <x:c r="I20" s="26" t="str">
        <x:v>In-House</x:v>
      </x:c>
      <x:c r="J20" s="26" t="str">
        <x:v>Completed</x:v>
      </x:c>
      <x:c r="K20" s="79" t="n">
        <x:v>46231</x:v>
      </x:c>
      <x:c r="L20" s="81" t="n">
        <x:f>IF($A20="","",$G20-'Dashboard'!$B$3)</x:f>
        <x:v>357.29166666666424</x:v>
      </x:c>
      <x:c r="M20" s="73" t="str">
        <x:f>IF($A20="","",IF($J20="Completed","Complete",IF($L20&lt;0,"Overdue",IF($L20&lt;=14,"Due Soon","On Track"))))</x:f>
        <x:v>Complete</x:v>
      </x:c>
      <x:c r="N20" s="75" t="str">
        <x:v>Detector tested and replacement date documented.</x:v>
      </x:c>
    </x:row>
    <x:row r="21" ht="30" customHeight="1">
      <x:c r="A21" s="26" t="str">
        <x:v>PM-017</x:v>
      </x:c>
      <x:c r="B21" s="26" t="str">
        <x:v>Building A</x:v>
      </x:c>
      <x:c r="C21" s="26" t="str">
        <x:v>Elevator Door Operation</x:v>
      </x:c>
      <x:c r="D21" s="26" t="str">
        <x:v>Safety / Security</x:v>
      </x:c>
      <x:c r="E21" s="26" t="str">
        <x:v>Monthly</x:v>
      </x:c>
      <x:c r="F21" s="79" t="n">
        <x:v>46218</x:v>
      </x:c>
      <x:c r="G21" s="80" t="n">
        <x:f>IF($A21="","",IF($K21&lt;&gt;"",$K21,$F21)+IFERROR(VLOOKUP($E21,'Lists &amp; SLA'!$O$5:$P$8,2,FALSE),0))</x:f>
        <x:v>46248</x:v>
      </x:c>
      <x:c r="H21" s="26" t="str">
        <x:v>Tessa Nguyen</x:v>
      </x:c>
      <x:c r="I21" s="26" t="str">
        <x:v>West Coast Elevator</x:v>
      </x:c>
      <x:c r="J21" s="26" t="str">
        <x:v>Scheduled</x:v>
      </x:c>
      <x:c r="K21" s="79"/>
      <x:c r="L21" s="81" t="n">
        <x:f>IF($A21="","",$G21-'Dashboard'!$B$3)</x:f>
        <x:v>9.291666666664241</x:v>
      </x:c>
      <x:c r="M21" s="73" t="str">
        <x:f>IF($A21="","",IF($J21="Completed","Complete",IF($L21&lt;0,"Overdue",IF($L21&lt;=14,"Due Soon","On Track"))))</x:f>
        <x:v>Due Soon</x:v>
      </x:c>
      <x:c r="N21" s="75" t="str">
        <x:v>Monthly door reversal, leveling, and emergency phone checks.</x:v>
      </x:c>
    </x:row>
    <x:row r="22" ht="30" customHeight="1">
      <x:c r="A22" s="26" t="str">
        <x:v>PM-018</x:v>
      </x:c>
      <x:c r="B22" s="26" t="str">
        <x:v>Exterior Paths</x:v>
      </x:c>
      <x:c r="C22" s="26" t="str">
        <x:v>Exterior Lighting Walk</x:v>
      </x:c>
      <x:c r="D22" s="26" t="str">
        <x:v>Electrical</x:v>
      </x:c>
      <x:c r="E22" s="26" t="str">
        <x:v>Monthly</x:v>
      </x:c>
      <x:c r="F22" s="79" t="n">
        <x:v>46204</x:v>
      </x:c>
      <x:c r="G22" s="80" t="n">
        <x:f>IF($A22="","",IF($K22&lt;&gt;"",$K22,$F22)+IFERROR(VLOOKUP($E22,'Lists &amp; SLA'!$O$5:$P$8,2,FALSE),0))</x:f>
        <x:v>46234</x:v>
      </x:c>
      <x:c r="H22" s="26" t="str">
        <x:v>Maya Patel</x:v>
      </x:c>
      <x:c r="I22" s="26" t="str">
        <x:v>In-House</x:v>
      </x:c>
      <x:c r="J22" s="26" t="str">
        <x:v>Deferred</x:v>
      </x:c>
      <x:c r="K22" s="79"/>
      <x:c r="L22" s="81" t="n">
        <x:f>IF($A22="","",$G22-'Dashboard'!$B$3)</x:f>
        <x:v>-4.708333333335759</x:v>
      </x:c>
      <x:c r="M22" s="73" t="str">
        <x:f>IF($A22="","",IF($J22="Completed","Complete",IF($L22&lt;0,"Overdue",IF($L22&lt;=14,"Due Soon","On Track"))))</x:f>
        <x:v>Overdue</x:v>
      </x:c>
      <x:c r="N22" s="75" t="str">
        <x:v>Night walk to identify failed lamps, damaged covers, and dark zones.</x:v>
      </x:c>
    </x:row>
  </x:sheetData>
  <x:mergeCells>
    <x:mergeCell ref="A1:N1"/>
    <x:mergeCell ref="A2:N2"/>
  </x:mergeCells>
  <x:conditionalFormatting sqref="M5:M22">
    <x:cfRule type="expression" dxfId="22" priority="1">
      <x:formula>$M5="Overdue"</x:formula>
    </x:cfRule>
    <x:cfRule type="expression" dxfId="23" priority="2">
      <x:formula>$M5="Due Soon"</x:formula>
    </x:cfRule>
    <x:cfRule type="expression" dxfId="24" priority="3">
      <x:formula>$M5="On Track"</x:formula>
    </x:cfRule>
    <x:cfRule type="expression" dxfId="25" priority="4">
      <x:formula>$M5="Complete"</x:formula>
    </x:cfRule>
  </x:conditionalFormatting>
  <x:conditionalFormatting sqref="J5:J22">
    <x:cfRule type="expression" dxfId="26" priority="5">
      <x:formula>$J5="Deferred"</x:formula>
    </x:cfRule>
  </x:conditionalFormatting>
  <x:dataValidations count="5">
    <x:dataValidation type="list" sqref="D5:D22">
      <x:formula1>'Lists &amp; SLA'!$G$5:$G$13</x:formula1>
    </x:dataValidation>
    <x:dataValidation type="list" sqref="E5:E22">
      <x:formula1>'Lists &amp; SLA'!$O$5:$O$8</x:formula1>
    </x:dataValidation>
    <x:dataValidation type="list" sqref="H5:H22">
      <x:formula1>'Lists &amp; SLA'!$I$5:$I$9</x:formula1>
    </x:dataValidation>
    <x:dataValidation type="list" sqref="I5:I22">
      <x:formula1>'Lists &amp; SLA'!$K$5:$K$13</x:formula1>
    </x:dataValidation>
    <x:dataValidation type="list" sqref="J5:J22">
      <x:formula1>'Lists &amp; SLA'!$R$5:$R$8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385eb2a0cac4218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8" hidden="0" customWidth="1"/>
    <x:col min="3" max="3" width="20" hidden="0" customWidth="1"/>
    <x:col min="4" max="4" width="20" hidden="0" customWidth="1"/>
    <x:col min="5" max="5" width="16" hidden="0" customWidth="1"/>
    <x:col min="6" max="6" width="31" hidden="0" customWidth="1"/>
    <x:col min="7" max="7" width="16" hidden="0" customWidth="1"/>
    <x:col min="8" max="8" width="15" hidden="0" customWidth="1"/>
    <x:col min="9" max="9" width="13" hidden="0" customWidth="1"/>
    <x:col min="10" max="10" width="15" hidden="0" customWidth="1"/>
    <x:col min="11" max="11" width="13" hidden="0" customWidth="1"/>
    <x:col min="12" max="12" width="14" hidden="0" customWidth="1"/>
    <x:col min="13" max="13" width="13" hidden="0" customWidth="1"/>
    <x:col min="14" max="14" width="12" hidden="0" customWidth="1"/>
    <x:col min="15" max="15" width="12" hidden="0" customWidth="1"/>
    <x:col min="16" max="16" width="12" hidden="0" customWidth="1"/>
    <x:col min="17" max="17" width="16" hidden="0" customWidth="1"/>
    <x:col min="18" max="18" width="43" hidden="0" customWidth="1"/>
  </x:cols>
  <x:sheetData>
    <x:row r="1" ht="31" customHeight="1">
      <x:c r="A1" s="4" t="str">
        <x:v>PACIFIC CREST APARTMENTS | VENDOR PERFORMANCE &amp; COMPLIANCE</x:v>
      </x:c>
      <x:c r="B1" s="4" t="str">
        <x:v>PACIFIC CREST APARTMENTS | VENDOR PERFORMANCE &amp; COMPLIANCE</x:v>
      </x:c>
      <x:c r="C1" s="4" t="str">
        <x:v>PACIFIC CREST APARTMENTS | VENDOR PERFORMANCE &amp; COMPLIANCE</x:v>
      </x:c>
      <x:c r="D1" s="4" t="str">
        <x:v>PACIFIC CREST APARTMENTS | VENDOR PERFORMANCE &amp; COMPLIANCE</x:v>
      </x:c>
      <x:c r="E1" s="4" t="str">
        <x:v>PACIFIC CREST APARTMENTS | VENDOR PERFORMANCE &amp; COMPLIANCE</x:v>
      </x:c>
      <x:c r="F1" s="4" t="str">
        <x:v>PACIFIC CREST APARTMENTS | VENDOR PERFORMANCE &amp; COMPLIANCE</x:v>
      </x:c>
      <x:c r="G1" s="4" t="str">
        <x:v>PACIFIC CREST APARTMENTS | VENDOR PERFORMANCE &amp; COMPLIANCE</x:v>
      </x:c>
      <x:c r="H1" s="4" t="str">
        <x:v>PACIFIC CREST APARTMENTS | VENDOR PERFORMANCE &amp; COMPLIANCE</x:v>
      </x:c>
      <x:c r="I1" s="4" t="str">
        <x:v>PACIFIC CREST APARTMENTS | VENDOR PERFORMANCE &amp; COMPLIANCE</x:v>
      </x:c>
      <x:c r="J1" s="4" t="str">
        <x:v>PACIFIC CREST APARTMENTS | VENDOR PERFORMANCE &amp; COMPLIANCE</x:v>
      </x:c>
      <x:c r="K1" s="4" t="str">
        <x:v>PACIFIC CREST APARTMENTS | VENDOR PERFORMANCE &amp; COMPLIANCE</x:v>
      </x:c>
      <x:c r="L1" s="4" t="str">
        <x:v>PACIFIC CREST APARTMENTS | VENDOR PERFORMANCE &amp; COMPLIANCE</x:v>
      </x:c>
      <x:c r="M1" s="4" t="str">
        <x:v>PACIFIC CREST APARTMENTS | VENDOR PERFORMANCE &amp; COMPLIANCE</x:v>
      </x:c>
      <x:c r="N1" s="4" t="str">
        <x:v>PACIFIC CREST APARTMENTS | VENDOR PERFORMANCE &amp; COMPLIANCE</x:v>
      </x:c>
      <x:c r="O1" s="4" t="str">
        <x:v>PACIFIC CREST APARTMENTS | VENDOR PERFORMANCE &amp; COMPLIANCE</x:v>
      </x:c>
      <x:c r="P1" s="4" t="str">
        <x:v>PACIFIC CREST APARTMENTS | VENDOR PERFORMANCE &amp; COMPLIANCE</x:v>
      </x:c>
      <x:c r="Q1" s="4" t="str">
        <x:v>PACIFIC CREST APARTMENTS | VENDOR PERFORMANCE &amp; COMPLIANCE</x:v>
      </x:c>
      <x:c r="R1" s="4" t="str">
        <x:v>PACIFIC CREST APARTMENTS | VENDOR PERFORMANCE &amp; COMPLIANCE</x:v>
      </x:c>
    </x:row>
    <x:row r="2" ht="28" customHeight="1">
      <x:c r="A2" s="9" t="str">
        <x:v>Vendor usage, completion reliability, resident ratings, and document status are calculated from the work order register where applicable.</x:v>
      </x:c>
      <x:c r="B2" s="9" t="str">
        <x:v>Vendor usage, completion reliability, resident ratings, and document status are calculated from the work order register where applicable.</x:v>
      </x:c>
      <x:c r="C2" s="9" t="str">
        <x:v>Vendor usage, completion reliability, resident ratings, and document status are calculated from the work order register where applicable.</x:v>
      </x:c>
      <x:c r="D2" s="9" t="str">
        <x:v>Vendor usage, completion reliability, resident ratings, and document status are calculated from the work order register where applicable.</x:v>
      </x:c>
      <x:c r="E2" s="9" t="str">
        <x:v>Vendor usage, completion reliability, resident ratings, and document status are calculated from the work order register where applicable.</x:v>
      </x:c>
      <x:c r="F2" s="9" t="str">
        <x:v>Vendor usage, completion reliability, resident ratings, and document status are calculated from the work order register where applicable.</x:v>
      </x:c>
      <x:c r="G2" s="9" t="str">
        <x:v>Vendor usage, completion reliability, resident ratings, and document status are calculated from the work order register where applicable.</x:v>
      </x:c>
      <x:c r="H2" s="9" t="str">
        <x:v>Vendor usage, completion reliability, resident ratings, and document status are calculated from the work order register where applicable.</x:v>
      </x:c>
      <x:c r="I2" s="9" t="str">
        <x:v>Vendor usage, completion reliability, resident ratings, and document status are calculated from the work order register where applicable.</x:v>
      </x:c>
      <x:c r="J2" s="9" t="str">
        <x:v>Vendor usage, completion reliability, resident ratings, and document status are calculated from the work order register where applicable.</x:v>
      </x:c>
      <x:c r="K2" s="9" t="str">
        <x:v>Vendor usage, completion reliability, resident ratings, and document status are calculated from the work order register where applicable.</x:v>
      </x:c>
      <x:c r="L2" s="9" t="str">
        <x:v>Vendor usage, completion reliability, resident ratings, and document status are calculated from the work order register where applicable.</x:v>
      </x:c>
      <x:c r="M2" s="9" t="str">
        <x:v>Vendor usage, completion reliability, resident ratings, and document status are calculated from the work order register where applicable.</x:v>
      </x:c>
      <x:c r="N2" s="9" t="str">
        <x:v>Vendor usage, completion reliability, resident ratings, and document status are calculated from the work order register where applicable.</x:v>
      </x:c>
      <x:c r="O2" s="9" t="str">
        <x:v>Vendor usage, completion reliability, resident ratings, and document status are calculated from the work order register where applicable.</x:v>
      </x:c>
      <x:c r="P2" s="9" t="str">
        <x:v>Vendor usage, completion reliability, resident ratings, and document status are calculated from the work order register where applicable.</x:v>
      </x:c>
      <x:c r="Q2" s="9" t="str">
        <x:v>Vendor usage, completion reliability, resident ratings, and document status are calculated from the work order register where applicable.</x:v>
      </x:c>
      <x:c r="R2" s="9" t="str">
        <x:v>Vendor usage, completion reliability, resident ratings, and document status are calculated from the work order register where applicable.</x:v>
      </x:c>
    </x:row>
    <x:row r="4">
      <x:c r="A4" s="114" t="str">
        <x:v>ACTIVE EXTERNAL VENDORS</x:v>
      </x:c>
      <x:c r="B4" s="115" t="str">
        <x:v>ACTIVE EXTERNAL VENDORS</x:v>
      </x:c>
      <x:c r="C4" s="116" t="str">
        <x:v>ACTIVE EXTERNAL VENDORS</x:v>
      </x:c>
      <x:c r="E4" s="114" t="str">
        <x:v>COI ACTIONS</x:v>
      </x:c>
      <x:c r="F4" s="115" t="str">
        <x:v>COI ACTIONS</x:v>
      </x:c>
      <x:c r="G4" s="116" t="str">
        <x:v>COI ACTIONS</x:v>
      </x:c>
      <x:c r="I4" s="114" t="str">
        <x:v>VENDOR ON-TIME COMPLETION</x:v>
      </x:c>
      <x:c r="J4" s="115" t="str">
        <x:v>VENDOR ON-TIME COMPLETION</x:v>
      </x:c>
      <x:c r="K4" s="116" t="str">
        <x:v>VENDOR ON-TIME COMPLETION</x:v>
      </x:c>
      <x:c r="M4" s="114" t="str">
        <x:v>AVERAGE VENDOR RATING</x:v>
      </x:c>
      <x:c r="N4" s="115" t="str">
        <x:v>AVERAGE VENDOR RATING</x:v>
      </x:c>
      <x:c r="O4" s="116" t="str">
        <x:v>AVERAGE VENDOR RATING</x:v>
      </x:c>
    </x:row>
    <x:row r="5">
      <x:c r="A5" s="99"/>
      <x:c r="B5" s="119" t="n">
        <x:f>COUNTIF($Q$10:$Q$18,"Active")</x:f>
        <x:v>7</x:v>
      </x:c>
      <x:c r="C5" s="101"/>
      <x:c r="E5" s="99"/>
      <x:c r="F5" s="119" t="n">
        <x:f>COUNTIF($H$10:$H$18,"Renewal Due")+COUNTIF($H$10:$H$18,"Expired")</x:f>
        <x:v>2</x:v>
      </x:c>
      <x:c r="G5" s="101"/>
      <x:c r="I5" s="99"/>
      <x:c r="J5" s="126" t="n">
        <x:f>IFERROR((SUM($M$10:$M$18)-$M$10)/(SUM($L$10:$L$18)-$L$10),0)</x:f>
        <x:v>0.95</x:v>
      </x:c>
      <x:c r="K5" s="101"/>
      <x:c r="M5" s="99"/>
      <x:c r="N5" s="128" t="n">
        <x:f>IFERROR(AVERAGEIF($P$10:$P$18,"&gt;0"),0)</x:f>
        <x:v>4.511111111111111</x:v>
      </x:c>
      <x:c r="O5" s="101"/>
    </x:row>
    <x:row r="6">
      <x:c r="A6" s="99"/>
      <x:c r="B6" s="121" t="str">
        <x:v>approved vendors</x:v>
      </x:c>
      <x:c r="C6" s="101"/>
      <x:c r="E6" s="99"/>
      <x:c r="F6" s="121" t="str">
        <x:v>renewal / expiration items</x:v>
      </x:c>
      <x:c r="G6" s="101"/>
      <x:c r="I6" s="99"/>
      <x:c r="J6" s="121" t="str">
        <x:v>external completed work orders</x:v>
      </x:c>
      <x:c r="K6" s="101"/>
      <x:c r="M6" s="99"/>
      <x:c r="N6" s="121" t="str">
        <x:v>out of 5</x:v>
      </x:c>
      <x:c r="O6" s="101"/>
    </x:row>
    <x:row r="7">
      <x:c r="A7" s="102"/>
      <x:c r="B7" s="124" t="str">
        <x:f>"Plus "&amp;COUNTIF($Q$10:$Q$18,"Internal")&amp;" internal team"</x:f>
        <x:v>Plus 1 internal team</x:v>
      </x:c>
      <x:c r="C7" s="104"/>
      <x:c r="E7" s="102"/>
      <x:c r="F7" s="124" t="str">
        <x:f>"Target: 0 open compliance items"</x:f>
        <x:v>Target: 0 open compliance items</x:v>
      </x:c>
      <x:c r="G7" s="104"/>
      <x:c r="I7" s="102"/>
      <x:c r="J7" s="124" t="str">
        <x:f>"Target ≥ "&amp;TEXT('Lists &amp; SLA'!$C$20,"0%")</x:f>
        <x:v>Target ≥ 90%</x:v>
      </x:c>
      <x:c r="K7" s="104"/>
      <x:c r="M7" s="102"/>
      <x:c r="N7" s="124" t="str">
        <x:f>"Resident target ≥ "&amp;TEXT('Lists &amp; SLA'!$C$19,"0.0")</x:f>
        <x:v>Resident target ≥ 4.3</x:v>
      </x:c>
      <x:c r="O7" s="104"/>
    </x:row>
    <x:row r="9" ht="36" customHeight="1">
      <x:c r="A9" s="21" t="str">
        <x:v>Vendor ID</x:v>
      </x:c>
      <x:c r="B9" s="22" t="str">
        <x:v>Vendor Name</x:v>
      </x:c>
      <x:c r="C9" s="22" t="str">
        <x:v>Specialty</x:v>
      </x:c>
      <x:c r="D9" s="22" t="str">
        <x:v>Primary Contact</x:v>
      </x:c>
      <x:c r="E9" s="22" t="str">
        <x:v>Phone</x:v>
      </x:c>
      <x:c r="F9" s="22" t="str">
        <x:v>Email</x:v>
      </x:c>
      <x:c r="G9" s="22" t="str">
        <x:v>Insurance Exp.</x:v>
      </x:c>
      <x:c r="H9" s="22" t="str">
        <x:v>COI Status</x:v>
      </x:c>
      <x:c r="I9" s="22" t="str">
        <x:v>W-9 Status</x:v>
      </x:c>
      <x:c r="J9" s="22" t="str">
        <x:v>Avg Response (hrs)</x:v>
      </x:c>
      <x:c r="K9" s="22" t="str">
        <x:v>Jobs Assigned</x:v>
      </x:c>
      <x:c r="L9" s="22" t="str">
        <x:v>Jobs Completed</x:v>
      </x:c>
      <x:c r="M9" s="22" t="str">
        <x:v>On-Time Jobs</x:v>
      </x:c>
      <x:c r="N9" s="22" t="str">
        <x:v>On-Time %</x:v>
      </x:c>
      <x:c r="O9" s="22" t="str">
        <x:v>Avg Cost</x:v>
      </x:c>
      <x:c r="P9" s="22" t="str">
        <x:v>Avg Rating</x:v>
      </x:c>
      <x:c r="Q9" s="22" t="str">
        <x:v>Contract Status</x:v>
      </x:c>
      <x:c r="R9" s="23" t="str">
        <x:v>Performance Notes</x:v>
      </x:c>
    </x:row>
    <x:row r="10" ht="32" customHeight="1">
      <x:c r="A10" s="26" t="str">
        <x:v>INT-001</x:v>
      </x:c>
      <x:c r="B10" s="26" t="str">
        <x:v>In-House</x:v>
      </x:c>
      <x:c r="C10" s="26" t="str">
        <x:v>General Maintenance</x:v>
      </x:c>
      <x:c r="D10" s="26" t="str">
        <x:v>Andre Collins</x:v>
      </x:c>
      <x:c r="E10" s="26" t="str">
        <x:v>562-555-0100</x:v>
      </x:c>
      <x:c r="F10" s="26" t="str">
        <x:v>maintenance@pacificcrest.example</x:v>
      </x:c>
      <x:c r="G10" s="79"/>
      <x:c r="H10" s="73" t="str">
        <x:f>IF($A10="","",IF($B10="In-House","Internal",IF($G10&lt;'Dashboard'!$B$3,"Expired",IF($G10-'Dashboard'!$B$3&lt;=30,"Renewal Due","Current"))))</x:f>
        <x:v>Internal</x:v>
      </x:c>
      <x:c r="I10" s="26" t="str">
        <x:v>N/A</x:v>
      </x:c>
      <x:c r="J10" s="72" t="n">
        <x:f>IF($A10="","",IFERROR(AVERAGEIF('Work Orders'!$G$5:$G$204,$B10,'Work Orders'!$P$5:$P$204),0))</x:f>
        <x:v>2.8166666666666664</x:v>
      </x:c>
      <x:c r="K10" s="81" t="n">
        <x:f>IF($A10="","",COUNTIFS('Work Orders'!$G$5:$G$204,$B10,'Work Orders'!$A$5:$A$204,"&lt;&gt;"))</x:f>
        <x:v>13</x:v>
      </x:c>
      <x:c r="L10" s="81" t="n">
        <x:f>IF($A10="","",COUNTIFS('Work Orders'!$G$5:$G$204,$B10,'Work Orders'!$L$5:$L$204,"Completed"))</x:f>
        <x:v>9</x:v>
      </x:c>
      <x:c r="M10" s="81" t="n">
        <x:f>IF($A10="","",COUNTIFS('Work Orders'!$G$5:$G$204,$B10,'Work Orders'!$U$5:$U$204,"Yes"))</x:f>
        <x:v>9</x:v>
      </x:c>
      <x:c r="N10" s="84" t="n">
        <x:f>IFERROR($M10/$L10,0)</x:f>
        <x:v>1</x:v>
      </x:c>
      <x:c r="O10" s="85" t="n">
        <x:f>IF($A10="","",IFERROR(AVERAGEIF('Work Orders'!$G$5:$G$204,$B10,'Work Orders'!$M$5:$M$204),0))</x:f>
        <x:v>65.92307692307692</x:v>
      </x:c>
      <x:c r="P10" s="72" t="n">
        <x:f>IF($A10="","",IFERROR(AVERAGEIF('Work Orders'!$G$5:$G$204,$B10,'Work Orders'!$N$5:$N$204),0))</x:f>
        <x:v>4.333333333333333</x:v>
      </x:c>
      <x:c r="Q10" s="26" t="str">
        <x:v>Internal</x:v>
      </x:c>
      <x:c r="R10" s="75" t="str">
        <x:v>Primary response team for routine maintenance and after-hours triage.</x:v>
      </x:c>
    </x:row>
    <x:row r="11" ht="32" customHeight="1">
      <x:c r="A11" s="26" t="str">
        <x:v>VEN-001</x:v>
      </x:c>
      <x:c r="B11" s="26" t="str">
        <x:v>Coastal Plumbing Services</x:v>
      </x:c>
      <x:c r="C11" s="26" t="str">
        <x:v>Plumbing</x:v>
      </x:c>
      <x:c r="D11" s="26" t="str">
        <x:v>Rosa Delgado</x:v>
      </x:c>
      <x:c r="E11" s="26" t="str">
        <x:v>562-555-0112</x:v>
      </x:c>
      <x:c r="F11" s="26" t="str">
        <x:v>dispatch@coastalplumbing.example</x:v>
      </x:c>
      <x:c r="G11" s="79" t="n">
        <x:v>46446</x:v>
      </x:c>
      <x:c r="H11" s="73" t="str">
        <x:f>IF($A11="","",IF($B11="In-House","Internal",IF($G11&lt;'Dashboard'!$B$3,"Expired",IF($G11-'Dashboard'!$B$3&lt;=30,"Renewal Due","Current"))))</x:f>
        <x:v>Current</x:v>
      </x:c>
      <x:c r="I11" s="26" t="str">
        <x:v>Current</x:v>
      </x:c>
      <x:c r="J11" s="72" t="n">
        <x:f>IF($A11="","",IFERROR(AVERAGEIF('Work Orders'!$G$5:$G$204,$B11,'Work Orders'!$P$5:$P$204),0))</x:f>
        <x:v>0.7166666666666667</x:v>
      </x:c>
      <x:c r="K11" s="81" t="n">
        <x:f>IF($A11="","",COUNTIFS('Work Orders'!$G$5:$G$204,$B11,'Work Orders'!$A$5:$A$204,"&lt;&gt;"))</x:f>
        <x:v>6</x:v>
      </x:c>
      <x:c r="L11" s="81" t="n">
        <x:f>IF($A11="","",COUNTIFS('Work Orders'!$G$5:$G$204,$B11,'Work Orders'!$L$5:$L$204,"Completed"))</x:f>
        <x:v>5</x:v>
      </x:c>
      <x:c r="M11" s="81" t="n">
        <x:f>IF($A11="","",COUNTIFS('Work Orders'!$G$5:$G$204,$B11,'Work Orders'!$U$5:$U$204,"Yes"))</x:f>
        <x:v>4</x:v>
      </x:c>
      <x:c r="N11" s="84" t="n">
        <x:f>IFERROR($M11/$L11,0)</x:f>
        <x:v>0.8</x:v>
      </x:c>
      <x:c r="O11" s="85" t="n">
        <x:f>IF($A11="","",IFERROR(AVERAGEIF('Work Orders'!$G$5:$G$204,$B11,'Work Orders'!$M$5:$M$204),0))</x:f>
        <x:v>470</x:v>
      </x:c>
      <x:c r="P11" s="72" t="n">
        <x:f>IF($A11="","",IFERROR(AVERAGEIF('Work Orders'!$G$5:$G$204,$B11,'Work Orders'!$N$5:$N$204),0))</x:f>
        <x:v>4.6</x:v>
      </x:c>
      <x:c r="Q11" s="26" t="str">
        <x:v>Active</x:v>
      </x:c>
      <x:c r="R11" s="75" t="str">
        <x:v>Strong emergency response; confirm arrival window by text and portal.</x:v>
      </x:c>
    </x:row>
    <x:row r="12" ht="32" customHeight="1">
      <x:c r="A12" s="26" t="str">
        <x:v>VEN-002</x:v>
      </x:c>
      <x:c r="B12" s="26" t="str">
        <x:v>Harbor HVAC &amp; Mechanical</x:v>
      </x:c>
      <x:c r="C12" s="26" t="str">
        <x:v>HVAC</x:v>
      </x:c>
      <x:c r="D12" s="26" t="str">
        <x:v>Ian Morrison</x:v>
      </x:c>
      <x:c r="E12" s="26" t="str">
        <x:v>562-555-0124</x:v>
      </x:c>
      <x:c r="F12" s="26" t="str">
        <x:v>service@harborhvac.example</x:v>
      </x:c>
      <x:c r="G12" s="79" t="n">
        <x:v>46267</x:v>
      </x:c>
      <x:c r="H12" s="73" t="str">
        <x:f>IF($A12="","",IF($B12="In-House","Internal",IF($G12&lt;'Dashboard'!$B$3,"Expired",IF($G12-'Dashboard'!$B$3&lt;=30,"Renewal Due","Current"))))</x:f>
        <x:v>Renewal Due</x:v>
      </x:c>
      <x:c r="I12" s="26" t="str">
        <x:v>Current</x:v>
      </x:c>
      <x:c r="J12" s="72" t="n">
        <x:f>IF($A12="","",IFERROR(AVERAGEIF('Work Orders'!$G$5:$G$204,$B12,'Work Orders'!$P$5:$P$204),0))</x:f>
        <x:v>1.4000000000000001</x:v>
      </x:c>
      <x:c r="K12" s="81" t="n">
        <x:f>IF($A12="","",COUNTIFS('Work Orders'!$G$5:$G$204,$B12,'Work Orders'!$A$5:$A$204,"&lt;&gt;"))</x:f>
        <x:v>4</x:v>
      </x:c>
      <x:c r="L12" s="81" t="n">
        <x:f>IF($A12="","",COUNTIFS('Work Orders'!$G$5:$G$204,$B12,'Work Orders'!$L$5:$L$204,"Completed"))</x:f>
        <x:v>3</x:v>
      </x:c>
      <x:c r="M12" s="81" t="n">
        <x:f>IF($A12="","",COUNTIFS('Work Orders'!$G$5:$G$204,$B12,'Work Orders'!$U$5:$U$204,"Yes"))</x:f>
        <x:v>3</x:v>
      </x:c>
      <x:c r="N12" s="84" t="n">
        <x:f>IFERROR($M12/$L12,0)</x:f>
        <x:v>1</x:v>
      </x:c>
      <x:c r="O12" s="85" t="n">
        <x:f>IF($A12="","",IFERROR(AVERAGEIF('Work Orders'!$G$5:$G$204,$B12,'Work Orders'!$M$5:$M$204),0))</x:f>
        <x:v>348.75</x:v>
      </x:c>
      <x:c r="P12" s="72" t="n">
        <x:f>IF($A12="","",IFERROR(AVERAGEIF('Work Orders'!$G$5:$G$204,$B12,'Work Orders'!$N$5:$N$204),0))</x:f>
        <x:v>4.666666666666667</x:v>
      </x:c>
      <x:c r="Q12" s="26" t="str">
        <x:v>Active</x:v>
      </x:c>
      <x:c r="R12" s="75" t="str">
        <x:v>Reliable diagnostics; COI renewal should be requested this month.</x:v>
      </x:c>
    </x:row>
    <x:row r="13" ht="32" customHeight="1">
      <x:c r="A13" s="26" t="str">
        <x:v>VEN-003</x:v>
      </x:c>
      <x:c r="B13" s="26" t="str">
        <x:v>Seaside Electrical</x:v>
      </x:c>
      <x:c r="C13" s="26" t="str">
        <x:v>Electrical</x:v>
      </x:c>
      <x:c r="D13" s="26" t="str">
        <x:v>Monica Reyes</x:v>
      </x:c>
      <x:c r="E13" s="26" t="str">
        <x:v>562-555-0138</x:v>
      </x:c>
      <x:c r="F13" s="26" t="str">
        <x:v>workorders@seasideelectric.example</x:v>
      </x:c>
      <x:c r="G13" s="79" t="n">
        <x:v>46234</x:v>
      </x:c>
      <x:c r="H13" s="73" t="str">
        <x:f>IF($A13="","",IF($B13="In-House","Internal",IF($G13&lt;'Dashboard'!$B$3,"Expired",IF($G13-'Dashboard'!$B$3&lt;=30,"Renewal Due","Current"))))</x:f>
        <x:v>Expired</x:v>
      </x:c>
      <x:c r="I13" s="26" t="str">
        <x:v>Current</x:v>
      </x:c>
      <x:c r="J13" s="72" t="n">
        <x:f>IF($A13="","",IFERROR(AVERAGEIF('Work Orders'!$G$5:$G$204,$B13,'Work Orders'!$P$5:$P$204),0))</x:f>
        <x:v>2.0999999999999996</x:v>
      </x:c>
      <x:c r="K13" s="81" t="n">
        <x:f>IF($A13="","",COUNTIFS('Work Orders'!$G$5:$G$204,$B13,'Work Orders'!$A$5:$A$204,"&lt;&gt;"))</x:f>
        <x:v>4</x:v>
      </x:c>
      <x:c r="L13" s="81" t="n">
        <x:f>IF($A13="","",COUNTIFS('Work Orders'!$G$5:$G$204,$B13,'Work Orders'!$L$5:$L$204,"Completed"))</x:f>
        <x:v>3</x:v>
      </x:c>
      <x:c r="M13" s="81" t="n">
        <x:f>IF($A13="","",COUNTIFS('Work Orders'!$G$5:$G$204,$B13,'Work Orders'!$U$5:$U$204,"Yes"))</x:f>
        <x:v>3</x:v>
      </x:c>
      <x:c r="N13" s="84" t="n">
        <x:f>IFERROR($M13/$L13,0)</x:f>
        <x:v>1</x:v>
      </x:c>
      <x:c r="O13" s="85" t="n">
        <x:f>IF($A13="","",IFERROR(AVERAGEIF('Work Orders'!$G$5:$G$204,$B13,'Work Orders'!$M$5:$M$204),0))</x:f>
        <x:v>298.75</x:v>
      </x:c>
      <x:c r="P13" s="72" t="n">
        <x:f>IF($A13="","",IFERROR(AVERAGEIF('Work Orders'!$G$5:$G$204,$B13,'Work Orders'!$N$5:$N$204),0))</x:f>
        <x:v>4.333333333333333</x:v>
      </x:c>
      <x:c r="Q13" s="26" t="str">
        <x:v>Review Due</x:v>
      </x:c>
      <x:c r="R13" s="75" t="str">
        <x:v>License verified; expired COI requires immediate follow-up.</x:v>
      </x:c>
    </x:row>
    <x:row r="14" ht="32" customHeight="1">
      <x:c r="A14" s="26" t="str">
        <x:v>VEN-004</x:v>
      </x:c>
      <x:c r="B14" s="26" t="str">
        <x:v>West Coast Elevator</x:v>
      </x:c>
      <x:c r="C14" s="26" t="str">
        <x:v>Elevator</x:v>
      </x:c>
      <x:c r="D14" s="26" t="str">
        <x:v>David Wu</x:v>
      </x:c>
      <x:c r="E14" s="26" t="str">
        <x:v>562-555-0141</x:v>
      </x:c>
      <x:c r="F14" s="26" t="str">
        <x:v>service@wcelevator.example</x:v>
      </x:c>
      <x:c r="G14" s="79" t="n">
        <x:v>46402</x:v>
      </x:c>
      <x:c r="H14" s="73" t="str">
        <x:f>IF($A14="","",IF($B14="In-House","Internal",IF($G14&lt;'Dashboard'!$B$3,"Expired",IF($G14-'Dashboard'!$B$3&lt;=30,"Renewal Due","Current"))))</x:f>
        <x:v>Current</x:v>
      </x:c>
      <x:c r="I14" s="26" t="str">
        <x:v>Current</x:v>
      </x:c>
      <x:c r="J14" s="72" t="n">
        <x:f>IF($A14="","",IFERROR(AVERAGEIF('Work Orders'!$G$5:$G$204,$B14,'Work Orders'!$P$5:$P$204),0))</x:f>
        <x:v>0.2</x:v>
      </x:c>
      <x:c r="K14" s="81" t="n">
        <x:f>IF($A14="","",COUNTIFS('Work Orders'!$G$5:$G$204,$B14,'Work Orders'!$A$5:$A$204,"&lt;&gt;"))</x:f>
        <x:v>1</x:v>
      </x:c>
      <x:c r="L14" s="81" t="n">
        <x:f>IF($A14="","",COUNTIFS('Work Orders'!$G$5:$G$204,$B14,'Work Orders'!$L$5:$L$204,"Completed"))</x:f>
        <x:v>1</x:v>
      </x:c>
      <x:c r="M14" s="81" t="n">
        <x:f>IF($A14="","",COUNTIFS('Work Orders'!$G$5:$G$204,$B14,'Work Orders'!$U$5:$U$204,"Yes"))</x:f>
        <x:v>1</x:v>
      </x:c>
      <x:c r="N14" s="84" t="n">
        <x:f>IFERROR($M14/$L14,0)</x:f>
        <x:v>1</x:v>
      </x:c>
      <x:c r="O14" s="85" t="n">
        <x:f>IF($A14="","",IFERROR(AVERAGEIF('Work Orders'!$G$5:$G$204,$B14,'Work Orders'!$M$5:$M$204),0))</x:f>
        <x:v>640</x:v>
      </x:c>
      <x:c r="P14" s="72" t="n">
        <x:f>IF($A14="","",IFERROR(AVERAGEIF('Work Orders'!$G$5:$G$204,$B14,'Work Orders'!$N$5:$N$204),0))</x:f>
        <x:v>5</x:v>
      </x:c>
      <x:c r="Q14" s="26" t="str">
        <x:v>Active</x:v>
      </x:c>
      <x:c r="R14" s="75" t="str">
        <x:v>Specialized provider; maintain emergency callback escalation list.</x:v>
      </x:c>
    </x:row>
    <x:row r="15" ht="32" customHeight="1">
      <x:c r="A15" s="26" t="str">
        <x:v>VEN-005</x:v>
      </x:c>
      <x:c r="B15" s="26" t="str">
        <x:v>Pacific Pest Solutions</x:v>
      </x:c>
      <x:c r="C15" s="26" t="str">
        <x:v>Pest Control</x:v>
      </x:c>
      <x:c r="D15" s="26" t="str">
        <x:v>Keisha Brown</x:v>
      </x:c>
      <x:c r="E15" s="26" t="str">
        <x:v>562-555-0155</x:v>
      </x:c>
      <x:c r="F15" s="26" t="str">
        <x:v>schedule@pacificpest.example</x:v>
      </x:c>
      <x:c r="G15" s="79" t="n">
        <x:v>46371</x:v>
      </x:c>
      <x:c r="H15" s="73" t="str">
        <x:f>IF($A15="","",IF($B15="In-House","Internal",IF($G15&lt;'Dashboard'!$B$3,"Expired",IF($G15-'Dashboard'!$B$3&lt;=30,"Renewal Due","Current"))))</x:f>
        <x:v>Current</x:v>
      </x:c>
      <x:c r="I15" s="26" t="str">
        <x:v>Current</x:v>
      </x:c>
      <x:c r="J15" s="72" t="n">
        <x:f>IF($A15="","",IFERROR(AVERAGEIF('Work Orders'!$G$5:$G$204,$B15,'Work Orders'!$P$5:$P$204),0))</x:f>
        <x:v>5.166666666666667</x:v>
      </x:c>
      <x:c r="K15" s="81" t="n">
        <x:f>IF($A15="","",COUNTIFS('Work Orders'!$G$5:$G$204,$B15,'Work Orders'!$A$5:$A$204,"&lt;&gt;"))</x:f>
        <x:v>3</x:v>
      </x:c>
      <x:c r="L15" s="81" t="n">
        <x:f>IF($A15="","",COUNTIFS('Work Orders'!$G$5:$G$204,$B15,'Work Orders'!$L$5:$L$204,"Completed"))</x:f>
        <x:v>2</x:v>
      </x:c>
      <x:c r="M15" s="81" t="n">
        <x:f>IF($A15="","",COUNTIFS('Work Orders'!$G$5:$G$204,$B15,'Work Orders'!$U$5:$U$204,"Yes"))</x:f>
        <x:v>2</x:v>
      </x:c>
      <x:c r="N15" s="84" t="n">
        <x:f>IFERROR($M15/$L15,0)</x:f>
        <x:v>1</x:v>
      </x:c>
      <x:c r="O15" s="85" t="n">
        <x:f>IF($A15="","",IFERROR(AVERAGEIF('Work Orders'!$G$5:$G$204,$B15,'Work Orders'!$M$5:$M$204),0))</x:f>
        <x:v>111.66666666666667</x:v>
      </x:c>
      <x:c r="P15" s="72" t="n">
        <x:f>IF($A15="","",IFERROR(AVERAGEIF('Work Orders'!$G$5:$G$204,$B15,'Work Orders'!$N$5:$N$204),0))</x:f>
        <x:v>4.5</x:v>
      </x:c>
      <x:c r="Q15" s="26" t="str">
        <x:v>Active</x:v>
      </x:c>
      <x:c r="R15" s="75" t="str">
        <x:v>Resident preparation reminders reduce missed appointments.</x:v>
      </x:c>
    </x:row>
    <x:row r="16" ht="32" customHeight="1">
      <x:c r="A16" s="26" t="str">
        <x:v>VEN-006</x:v>
      </x:c>
      <x:c r="B16" s="26" t="str">
        <x:v>SecureAccess Locksmith</x:v>
      </x:c>
      <x:c r="C16" s="26" t="str">
        <x:v>Access Control</x:v>
      </x:c>
      <x:c r="D16" s="26" t="str">
        <x:v>Ben Alvarez</x:v>
      </x:c>
      <x:c r="E16" s="26" t="str">
        <x:v>562-555-0167</x:v>
      </x:c>
      <x:c r="F16" s="26" t="str">
        <x:v>dispatch@secureaccess.example</x:v>
      </x:c>
      <x:c r="G16" s="79" t="n">
        <x:v>46356</x:v>
      </x:c>
      <x:c r="H16" s="73" t="str">
        <x:f>IF($A16="","",IF($B16="In-House","Internal",IF($G16&lt;'Dashboard'!$B$3,"Expired",IF($G16-'Dashboard'!$B$3&lt;=30,"Renewal Due","Current"))))</x:f>
        <x:v>Current</x:v>
      </x:c>
      <x:c r="I16" s="26" t="str">
        <x:v>Current</x:v>
      </x:c>
      <x:c r="J16" s="72" t="n">
        <x:f>IF($A16="","",IFERROR(AVERAGEIF('Work Orders'!$G$5:$G$204,$B16,'Work Orders'!$P$5:$P$204),0))</x:f>
        <x:v>1.1500000000000001</x:v>
      </x:c>
      <x:c r="K16" s="81" t="n">
        <x:f>IF($A16="","",COUNTIFS('Work Orders'!$G$5:$G$204,$B16,'Work Orders'!$A$5:$A$204,"&lt;&gt;"))</x:f>
        <x:v>4</x:v>
      </x:c>
      <x:c r="L16" s="81" t="n">
        <x:f>IF($A16="","",COUNTIFS('Work Orders'!$G$5:$G$204,$B16,'Work Orders'!$L$5:$L$204,"Completed"))</x:f>
        <x:v>3</x:v>
      </x:c>
      <x:c r="M16" s="81" t="n">
        <x:f>IF($A16="","",COUNTIFS('Work Orders'!$G$5:$G$204,$B16,'Work Orders'!$U$5:$U$204,"Yes"))</x:f>
        <x:v>3</x:v>
      </x:c>
      <x:c r="N16" s="84" t="n">
        <x:f>IFERROR($M16/$L16,0)</x:f>
        <x:v>1</x:v>
      </x:c>
      <x:c r="O16" s="85" t="n">
        <x:f>IF($A16="","",IFERROR(AVERAGEIF('Work Orders'!$G$5:$G$204,$B16,'Work Orders'!$M$5:$M$204),0))</x:f>
        <x:v>275</x:v>
      </x:c>
      <x:c r="P16" s="72" t="n">
        <x:f>IF($A16="","",IFERROR(AVERAGEIF('Work Orders'!$G$5:$G$204,$B16,'Work Orders'!$N$5:$N$204),0))</x:f>
        <x:v>4.666666666666667</x:v>
      </x:c>
      <x:c r="Q16" s="26" t="str">
        <x:v>Active</x:v>
      </x:c>
      <x:c r="R16" s="75" t="str">
        <x:v>Good response on access-control emergencies and common-area calls.</x:v>
      </x:c>
    </x:row>
    <x:row r="17" ht="32" customHeight="1">
      <x:c r="A17" s="26" t="str">
        <x:v>VEN-007</x:v>
      </x:c>
      <x:c r="B17" s="26" t="str">
        <x:v>Apex Restoration</x:v>
      </x:c>
      <x:c r="C17" s="26" t="str">
        <x:v>Water Intrusion</x:v>
      </x:c>
      <x:c r="D17" s="26" t="str">
        <x:v>Sara Cohen</x:v>
      </x:c>
      <x:c r="E17" s="26" t="str">
        <x:v>562-555-0179</x:v>
      </x:c>
      <x:c r="F17" s="26" t="str">
        <x:v>projects@apexrestore.example</x:v>
      </x:c>
      <x:c r="G17" s="79" t="n">
        <x:v>46507</x:v>
      </x:c>
      <x:c r="H17" s="73" t="str">
        <x:f>IF($A17="","",IF($B17="In-House","Internal",IF($G17&lt;'Dashboard'!$B$3,"Expired",IF($G17-'Dashboard'!$B$3&lt;=30,"Renewal Due","Current"))))</x:f>
        <x:v>Current</x:v>
      </x:c>
      <x:c r="I17" s="26" t="str">
        <x:v>Current</x:v>
      </x:c>
      <x:c r="J17" s="72" t="n">
        <x:f>IF($A17="","",IFERROR(AVERAGEIF('Work Orders'!$G$5:$G$204,$B17,'Work Orders'!$P$5:$P$204),0))</x:f>
        <x:v>0.75</x:v>
      </x:c>
      <x:c r="K17" s="81" t="n">
        <x:f>IF($A17="","",COUNTIFS('Work Orders'!$G$5:$G$204,$B17,'Work Orders'!$A$5:$A$204,"&lt;&gt;"))</x:f>
        <x:v>2</x:v>
      </x:c>
      <x:c r="L17" s="81" t="n">
        <x:f>IF($A17="","",COUNTIFS('Work Orders'!$G$5:$G$204,$B17,'Work Orders'!$L$5:$L$204,"Completed"))</x:f>
        <x:v>2</x:v>
      </x:c>
      <x:c r="M17" s="81" t="n">
        <x:f>IF($A17="","",COUNTIFS('Work Orders'!$G$5:$G$204,$B17,'Work Orders'!$U$5:$U$204,"Yes"))</x:f>
        <x:v>2</x:v>
      </x:c>
      <x:c r="N17" s="84" t="n">
        <x:f>IFERROR($M17/$L17,0)</x:f>
        <x:v>1</x:v>
      </x:c>
      <x:c r="O17" s="85" t="n">
        <x:f>IF($A17="","",IFERROR(AVERAGEIF('Work Orders'!$G$5:$G$204,$B17,'Work Orders'!$M$5:$M$204),0))</x:f>
        <x:v>475</x:v>
      </x:c>
      <x:c r="P17" s="72" t="n">
        <x:f>IF($A17="","",IFERROR(AVERAGEIF('Work Orders'!$G$5:$G$204,$B17,'Work Orders'!$N$5:$N$204),0))</x:f>
        <x:v>4.5</x:v>
      </x:c>
      <x:c r="Q17" s="26" t="str">
        <x:v>Active</x:v>
      </x:c>
      <x:c r="R17" s="75" t="str">
        <x:v>Require moisture photos and written scope before closeout.</x:v>
      </x:c>
    </x:row>
    <x:row r="18" ht="32" customHeight="1">
      <x:c r="A18" s="26" t="str">
        <x:v>VEN-008</x:v>
      </x:c>
      <x:c r="B18" s="26" t="str">
        <x:v>BrightSide Cleaning</x:v>
      </x:c>
      <x:c r="C18" s="26" t="str">
        <x:v>Specialty Cleaning</x:v>
      </x:c>
      <x:c r="D18" s="26" t="str">
        <x:v>Terrence Cole</x:v>
      </x:c>
      <x:c r="E18" s="26" t="str">
        <x:v>562-555-0186</x:v>
      </x:c>
      <x:c r="F18" s="26" t="str">
        <x:v>ops@brightsideclean.example</x:v>
      </x:c>
      <x:c r="G18" s="79" t="n">
        <x:v>46326</x:v>
      </x:c>
      <x:c r="H18" s="73" t="str">
        <x:f>IF($A18="","",IF($B18="In-House","Internal",IF($G18&lt;'Dashboard'!$B$3,"Expired",IF($G18-'Dashboard'!$B$3&lt;=30,"Renewal Due","Current"))))</x:f>
        <x:v>Current</x:v>
      </x:c>
      <x:c r="I18" s="26" t="str">
        <x:v>Current</x:v>
      </x:c>
      <x:c r="J18" s="72" t="n">
        <x:f>IF($A18="","",IFERROR(AVERAGEIF('Work Orders'!$G$5:$G$204,$B18,'Work Orders'!$P$5:$P$204),0))</x:f>
        <x:v>7.5</x:v>
      </x:c>
      <x:c r="K18" s="81" t="n">
        <x:f>IF($A18="","",COUNTIFS('Work Orders'!$G$5:$G$204,$B18,'Work Orders'!$A$5:$A$204,"&lt;&gt;"))</x:f>
        <x:v>1</x:v>
      </x:c>
      <x:c r="L18" s="81" t="n">
        <x:f>IF($A18="","",COUNTIFS('Work Orders'!$G$5:$G$204,$B18,'Work Orders'!$L$5:$L$204,"Completed"))</x:f>
        <x:v>1</x:v>
      </x:c>
      <x:c r="M18" s="81" t="n">
        <x:f>IF($A18="","",COUNTIFS('Work Orders'!$G$5:$G$204,$B18,'Work Orders'!$U$5:$U$204,"Yes"))</x:f>
        <x:v>1</x:v>
      </x:c>
      <x:c r="N18" s="84" t="n">
        <x:f>IFERROR($M18/$L18,0)</x:f>
        <x:v>1</x:v>
      </x:c>
      <x:c r="O18" s="85" t="n">
        <x:f>IF($A18="","",IFERROR(AVERAGEIF('Work Orders'!$G$5:$G$204,$B18,'Work Orders'!$M$5:$M$204),0))</x:f>
        <x:v>275</x:v>
      </x:c>
      <x:c r="P18" s="72" t="n">
        <x:f>IF($A18="","",IFERROR(AVERAGEIF('Work Orders'!$G$5:$G$204,$B18,'Work Orders'!$N$5:$N$204),0))</x:f>
        <x:v>4</x:v>
      </x:c>
      <x:c r="Q18" s="26" t="str">
        <x:v>Active</x:v>
      </x:c>
      <x:c r="R18" s="75" t="str">
        <x:v>Use for scheduled exterior and exhaust-system service routes.</x:v>
      </x:c>
    </x:row>
  </x:sheetData>
  <x:mergeCells>
    <x:mergeCell ref="A1:R1"/>
    <x:mergeCell ref="A2:R2"/>
    <x:mergeCell ref="A4:C4"/>
    <x:mergeCell ref="E4:G4"/>
    <x:mergeCell ref="I4:K4"/>
    <x:mergeCell ref="M4:O4"/>
  </x:mergeCells>
  <x:conditionalFormatting sqref="H10:H18">
    <x:cfRule type="expression" dxfId="27" priority="1">
      <x:formula>$H10="Expired"</x:formula>
    </x:cfRule>
    <x:cfRule type="expression" dxfId="28" priority="2">
      <x:formula>$H10="Renewal Due"</x:formula>
    </x:cfRule>
    <x:cfRule type="expression" dxfId="29" priority="3">
      <x:formula>$H10="Current"</x:formula>
    </x:cfRule>
    <x:cfRule type="expression" dxfId="30" priority="4">
      <x:formula>$H10="Internal"</x:formula>
    </x:cfRule>
  </x:conditionalFormatting>
  <x:conditionalFormatting sqref="N10:N18">
    <x:cfRule type="dataBar" priority="5">
      <x:dataBar>
        <x:cfvo type="min"/>
        <x:cfvo type="max"/>
        <x:color rgb="FF0B7189"/>
      </x:dataBar>
      <x:extLst>
        <x:ext xmlns:x14="http://schemas.microsoft.com/office/spreadsheetml/2009/9/main" uri="{B025F937-C7B1-47D3-B67F-A62EFF666E3E}">
          <x14:id>{3F11F5CE-797F-E847-4C38-2B7910339A8E}</x14:id>
        </x:ext>
      </x:extLst>
    </x:cfRule>
  </x:conditionalFormatting>
  <x:conditionalFormatting sqref="Q10:Q18">
    <x:cfRule type="expression" dxfId="31" priority="6">
      <x:formula>$Q10="Review Due"</x:formula>
    </x:cfRule>
  </x:conditionalFormatting>
  <x:dataValidations count="1">
    <x:dataValidation type="list" sqref="Q10:Q18">
      <x:formula1>"Active,Review Due,Inactive,Internal"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62fe964a5064b73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3F11F5CE-797F-E847-4C38-2B7910339A8E}">
            <x14:dataBar gradient="1">
              <x14:cfvo type="min"/>
              <x14:cfvo type="max"/>
              <x14:fillColor rgb="FF0B7189"/>
            </x14:dataBar>
          </x14:cfRule>
          <xm:sqref>N10:N18</xm:sqref>
        </x14:conditionalFormatting>
      </x14:conditionalFormattings>
    </x:ext>
  </x:extLst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32" hidden="0" customWidth="1"/>
    <x:col min="5" max="5" width="38" hidden="0" customWidth="1"/>
    <x:col min="6" max="6" width="3" hidden="0" customWidth="1"/>
    <x:col min="7" max="7" width="25" hidden="0" customWidth="1"/>
    <x:col min="8" max="8" width="3" hidden="0" customWidth="1"/>
    <x:col min="9" max="9" width="20" hidden="0" customWidth="1"/>
    <x:col min="10" max="10" width="3" hidden="0" customWidth="1"/>
    <x:col min="11" max="11" width="28" hidden="0" customWidth="1"/>
    <x:col min="12" max="12" width="3" hidden="0" customWidth="1"/>
    <x:col min="13" max="13" width="22" hidden="0" customWidth="1"/>
    <x:col min="14" max="14" width="3" hidden="0" customWidth="1"/>
    <x:col min="15" max="15" width="18" hidden="0" customWidth="1"/>
    <x:col min="16" max="16" width="14" hidden="0" customWidth="1"/>
    <x:col min="17" max="17" width="3" hidden="0" customWidth="1"/>
    <x:col min="18" max="18" width="18" hidden="0" customWidth="1"/>
  </x:cols>
  <x:sheetData>
    <x:row r="1" ht="31" customHeight="1">
      <x:c r="A1" s="4" t="str">
        <x:v>PACIFIC CREST APARTMENTS | CONTROL TABLES</x:v>
      </x:c>
      <x:c r="B1" s="4" t="str">
        <x:v>PACIFIC CREST APARTMENTS | CONTROL TABLES</x:v>
      </x:c>
      <x:c r="C1" s="4" t="str">
        <x:v>PACIFIC CREST APARTMENTS | CONTROL TABLES</x:v>
      </x:c>
      <x:c r="D1" s="4" t="str">
        <x:v>PACIFIC CREST APARTMENTS | CONTROL TABLES</x:v>
      </x:c>
      <x:c r="E1" s="4" t="str">
        <x:v>PACIFIC CREST APARTMENTS | CONTROL TABLES</x:v>
      </x:c>
      <x:c r="F1" s="4" t="str">
        <x:v>PACIFIC CREST APARTMENTS | CONTROL TABLES</x:v>
      </x:c>
      <x:c r="G1" s="4" t="str">
        <x:v>PACIFIC CREST APARTMENTS | CONTROL TABLES</x:v>
      </x:c>
      <x:c r="H1" s="4" t="str">
        <x:v>PACIFIC CREST APARTMENTS | CONTROL TABLES</x:v>
      </x:c>
      <x:c r="I1" s="4" t="str">
        <x:v>PACIFIC CREST APARTMENTS | CONTROL TABLES</x:v>
      </x:c>
      <x:c r="J1" s="4" t="str">
        <x:v>PACIFIC CREST APARTMENTS | CONTROL TABLES</x:v>
      </x:c>
      <x:c r="K1" s="4" t="str">
        <x:v>PACIFIC CREST APARTMENTS | CONTROL TABLES</x:v>
      </x:c>
      <x:c r="L1" s="4" t="str">
        <x:v>PACIFIC CREST APARTMENTS | CONTROL TABLES</x:v>
      </x:c>
      <x:c r="M1" s="4" t="str">
        <x:v>PACIFIC CREST APARTMENTS | CONTROL TABLES</x:v>
      </x:c>
      <x:c r="N1" s="4" t="str">
        <x:v>PACIFIC CREST APARTMENTS | CONTROL TABLES</x:v>
      </x:c>
      <x:c r="O1" s="4" t="str">
        <x:v>PACIFIC CREST APARTMENTS | CONTROL TABLES</x:v>
      </x:c>
      <x:c r="P1" s="4" t="str">
        <x:v>PACIFIC CREST APARTMENTS | CONTROL TABLES</x:v>
      </x:c>
      <x:c r="Q1" s="4" t="str">
        <x:v>PACIFIC CREST APARTMENTS | CONTROL TABLES</x:v>
      </x:c>
      <x:c r="R1" s="4" t="str">
        <x:v>PACIFIC CREST APARTMENTS | CONTROL TABLES</x:v>
      </x:c>
    </x:row>
    <x:row r="2" ht="28" customHeight="1">
      <x:c r="A2" s="9" t="str">
        <x:v>Editable service standards and dropdown lists used throughout the tracker. Update these inputs before changing operational formulas.</x:v>
      </x:c>
      <x:c r="B2" s="9" t="str">
        <x:v>Editable service standards and dropdown lists used throughout the tracker. Update these inputs before changing operational formulas.</x:v>
      </x:c>
      <x:c r="C2" s="9" t="str">
        <x:v>Editable service standards and dropdown lists used throughout the tracker. Update these inputs before changing operational formulas.</x:v>
      </x:c>
      <x:c r="D2" s="9" t="str">
        <x:v>Editable service standards and dropdown lists used throughout the tracker. Update these inputs before changing operational formulas.</x:v>
      </x:c>
      <x:c r="E2" s="9" t="str">
        <x:v>Editable service standards and dropdown lists used throughout the tracker. Update these inputs before changing operational formulas.</x:v>
      </x:c>
      <x:c r="F2" s="9" t="str">
        <x:v>Editable service standards and dropdown lists used throughout the tracker. Update these inputs before changing operational formulas.</x:v>
      </x:c>
      <x:c r="G2" s="9" t="str">
        <x:v>Editable service standards and dropdown lists used throughout the tracker. Update these inputs before changing operational formulas.</x:v>
      </x:c>
      <x:c r="H2" s="9" t="str">
        <x:v>Editable service standards and dropdown lists used throughout the tracker. Update these inputs before changing operational formulas.</x:v>
      </x:c>
      <x:c r="I2" s="9" t="str">
        <x:v>Editable service standards and dropdown lists used throughout the tracker. Update these inputs before changing operational formulas.</x:v>
      </x:c>
      <x:c r="J2" s="9" t="str">
        <x:v>Editable service standards and dropdown lists used throughout the tracker. Update these inputs before changing operational formulas.</x:v>
      </x:c>
      <x:c r="K2" s="9" t="str">
        <x:v>Editable service standards and dropdown lists used throughout the tracker. Update these inputs before changing operational formulas.</x:v>
      </x:c>
      <x:c r="L2" s="9" t="str">
        <x:v>Editable service standards and dropdown lists used throughout the tracker. Update these inputs before changing operational formulas.</x:v>
      </x:c>
      <x:c r="M2" s="9" t="str">
        <x:v>Editable service standards and dropdown lists used throughout the tracker. Update these inputs before changing operational formulas.</x:v>
      </x:c>
      <x:c r="N2" s="9" t="str">
        <x:v>Editable service standards and dropdown lists used throughout the tracker. Update these inputs before changing operational formulas.</x:v>
      </x:c>
      <x:c r="O2" s="9" t="str">
        <x:v>Editable service standards and dropdown lists used throughout the tracker. Update these inputs before changing operational formulas.</x:v>
      </x:c>
      <x:c r="P2" s="9" t="str">
        <x:v>Editable service standards and dropdown lists used throughout the tracker. Update these inputs before changing operational formulas.</x:v>
      </x:c>
      <x:c r="Q2" s="9" t="str">
        <x:v>Editable service standards and dropdown lists used throughout the tracker. Update these inputs before changing operational formulas.</x:v>
      </x:c>
      <x:c r="R2" s="9" t="str">
        <x:v>Editable service standards and dropdown lists used throughout the tracker. Update these inputs before changing operational formulas.</x:v>
      </x:c>
    </x:row>
    <x:row r="4">
      <x:c r="A4" s="21" t="str">
        <x:v>Priority</x:v>
      </x:c>
      <x:c r="B4" s="22" t="str">
        <x:v>First Response Target (hrs)</x:v>
      </x:c>
      <x:c r="C4" s="22" t="str">
        <x:v>Completion Target (hrs)</x:v>
      </x:c>
      <x:c r="D4" s="22" t="str">
        <x:v>Definition</x:v>
      </x:c>
      <x:c r="E4" s="23" t="str">
        <x:v>Escalation Trigger</x:v>
      </x:c>
      <x:c r="G4" s="53" t="str">
        <x:v>Categories</x:v>
      </x:c>
      <x:c r="I4" s="53" t="str">
        <x:v>Technicians</x:v>
      </x:c>
      <x:c r="K4" s="53" t="str">
        <x:v>Vendors / Teams</x:v>
      </x:c>
      <x:c r="M4" s="53" t="str">
        <x:v>Work Order Status</x:v>
      </x:c>
      <x:c r="O4" s="21" t="str">
        <x:v>PM Frequency</x:v>
      </x:c>
      <x:c r="P4" s="23" t="str">
        <x:v>Planning Days</x:v>
      </x:c>
      <x:c r="R4" s="53" t="str">
        <x:v>PM Status</x:v>
      </x:c>
    </x:row>
    <x:row r="5">
      <x:c r="A5" s="27" t="str">
        <x:v>P1 Emergency</x:v>
      </x:c>
      <x:c r="B5" s="39" t="n">
        <x:v>0.0833</x:v>
      </x:c>
      <x:c r="C5" s="39" t="n">
        <x:v>4</x:v>
      </x:c>
      <x:c r="D5" s="42" t="str">
        <x:v>Acknowledge ≤5 min; dispatch ≤10 min; on-site ≤30 min; stabilize within 4 hours</x:v>
      </x:c>
      <x:c r="E5" s="43" t="str">
        <x:v>Escalate to Property Manager immediately; dispatch without delay</x:v>
      </x:c>
      <x:c r="G5" s="54" t="str">
        <x:v>Plumbing</x:v>
      </x:c>
      <x:c r="I5" s="54" t="str">
        <x:v>Luis Hernandez</x:v>
      </x:c>
      <x:c r="K5" s="54" t="str">
        <x:v>In-House</x:v>
      </x:c>
      <x:c r="M5" s="54" t="str">
        <x:v>New</x:v>
      </x:c>
      <x:c r="O5" s="27" t="str">
        <x:v>Monthly</x:v>
      </x:c>
      <x:c r="P5" s="57" t="n">
        <x:v>30</x:v>
      </x:c>
      <x:c r="R5" s="54" t="str">
        <x:v>Planned</x:v>
      </x:c>
    </x:row>
    <x:row r="6">
      <x:c r="A6" s="31" t="str">
        <x:v>P2 Urgent</x:v>
      </x:c>
      <x:c r="B6" s="40" t="n">
        <x:v>0.5</x:v>
      </x:c>
      <x:c r="C6" s="40" t="n">
        <x:v>24</x:v>
      </x:c>
      <x:c r="D6" s="44" t="str">
        <x:v>Acknowledge ≤30 min; assign ≤60 min; same-day start; complete or provide safe temporary solution within 24 hours</x:v>
      </x:c>
      <x:c r="E6" s="45" t="str">
        <x:v>Escalate if unassigned after 30 minutes or at 75% of completion SLA</x:v>
      </x:c>
      <x:c r="G6" s="55" t="str">
        <x:v>Electrical</x:v>
      </x:c>
      <x:c r="I6" s="55" t="str">
        <x:v>Maya Patel</x:v>
      </x:c>
      <x:c r="K6" s="55" t="str">
        <x:v>Coastal Plumbing Services</x:v>
      </x:c>
      <x:c r="M6" s="55" t="str">
        <x:v>Assigned</x:v>
      </x:c>
      <x:c r="O6" s="31" t="str">
        <x:v>Quarterly</x:v>
      </x:c>
      <x:c r="P6" s="58" t="n">
        <x:v>90</x:v>
      </x:c>
      <x:c r="R6" s="55" t="str">
        <x:v>Scheduled</x:v>
      </x:c>
    </x:row>
    <x:row r="7">
      <x:c r="A7" s="31" t="str">
        <x:v>P3 Routine</x:v>
      </x:c>
      <x:c r="B7" s="40" t="n">
        <x:v>2</x:v>
      </x:c>
      <x:c r="C7" s="40" t="n">
        <x:v>72</x:v>
      </x:c>
      <x:c r="D7" s="44" t="str">
        <x:v>Acknowledge ≤2 business hours; assign ≤4 business hours; complete within 3 business days</x:v>
      </x:c>
      <x:c r="E7" s="45" t="str">
        <x:v>Escalate if unassigned after 2 hours or at 75% of completion SLA</x:v>
      </x:c>
      <x:c r="G7" s="55" t="str">
        <x:v>HVAC</x:v>
      </x:c>
      <x:c r="I7" s="55" t="str">
        <x:v>Andre Collins</x:v>
      </x:c>
      <x:c r="K7" s="55" t="str">
        <x:v>Harbor HVAC &amp; Mechanical</x:v>
      </x:c>
      <x:c r="M7" s="55" t="str">
        <x:v>In Progress</x:v>
      </x:c>
      <x:c r="O7" s="31" t="str">
        <x:v>Semiannual</x:v>
      </x:c>
      <x:c r="P7" s="58" t="n">
        <x:v>182</x:v>
      </x:c>
      <x:c r="R7" s="55" t="str">
        <x:v>Completed</x:v>
      </x:c>
    </x:row>
    <x:row r="8">
      <x:c r="A8" s="35" t="str">
        <x:v>P4 Low / Planned</x:v>
      </x:c>
      <x:c r="B8" s="41" t="n">
        <x:v>8</x:v>
      </x:c>
      <x:c r="C8" s="41" t="n">
        <x:v>240</x:v>
      </x:c>
      <x:c r="D8" s="46" t="str">
        <x:v>Acknowledge ≤1 business day; schedule within 3 business days; complete within 5–10 business days</x:v>
      </x:c>
      <x:c r="E8" s="47" t="str">
        <x:v>Review in daily backlog huddle; escalate at 75% of completion SLA</x:v>
      </x:c>
      <x:c r="G8" s="55" t="str">
        <x:v>Appliance</x:v>
      </x:c>
      <x:c r="I8" s="55" t="str">
        <x:v>Tessa Nguyen</x:v>
      </x:c>
      <x:c r="K8" s="55" t="str">
        <x:v>Seaside Electrical</x:v>
      </x:c>
      <x:c r="M8" s="55" t="str">
        <x:v>On Hold - Parts</x:v>
      </x:c>
      <x:c r="O8" s="35" t="str">
        <x:v>Annual</x:v>
      </x:c>
      <x:c r="P8" s="59" t="n">
        <x:v>365</x:v>
      </x:c>
      <x:c r="R8" s="56" t="str">
        <x:v>Deferred</x:v>
      </x:c>
    </x:row>
    <x:row r="9">
      <x:c r="G9" s="55" t="str">
        <x:v>Safety / Security</x:v>
      </x:c>
      <x:c r="I9" s="56" t="str">
        <x:v>Unassigned</x:v>
      </x:c>
      <x:c r="K9" s="55" t="str">
        <x:v>West Coast Elevator</x:v>
      </x:c>
      <x:c r="M9" s="55" t="str">
        <x:v>On Hold - Resident</x:v>
      </x:c>
    </x:row>
    <x:row r="10">
      <x:c r="G10" s="55" t="str">
        <x:v>General Repair</x:v>
      </x:c>
      <x:c r="K10" s="55" t="str">
        <x:v>Pacific Pest Solutions</x:v>
      </x:c>
      <x:c r="M10" s="55" t="str">
        <x:v>Completed</x:v>
      </x:c>
    </x:row>
    <x:row r="11">
      <x:c r="G11" s="55" t="str">
        <x:v>Pest Control</x:v>
      </x:c>
      <x:c r="K11" s="55" t="str">
        <x:v>SecureAccess Locksmith</x:v>
      </x:c>
      <x:c r="M11" s="56" t="str">
        <x:v>Cancelled</x:v>
      </x:c>
    </x:row>
    <x:row r="12">
      <x:c r="G12" s="55" t="str">
        <x:v>Exterior / Common Area</x:v>
      </x:c>
      <x:c r="K12" s="55" t="str">
        <x:v>Apex Restoration</x:v>
      </x:c>
    </x:row>
    <x:row r="13">
      <x:c r="A13" s="21" t="str">
        <x:v>Illustrative KPI</x:v>
      </x:c>
      <x:c r="B13" s="22" t="str">
        <x:v>Current-State Baseline</x:v>
      </x:c>
      <x:c r="C13" s="22" t="str">
        <x:v>90-Day Target</x:v>
      </x:c>
      <x:c r="D13" s="23" t="str">
        <x:v>Unit / Definition</x:v>
      </x:c>
      <x:c r="G13" s="56" t="str">
        <x:v>Preventive Maintenance</x:v>
      </x:c>
      <x:c r="K13" s="56" t="str">
        <x:v>BrightSide Cleaning</x:v>
      </x:c>
    </x:row>
    <x:row r="14">
      <x:c r="A14" s="27" t="str">
        <x:v>Monthly Work Order Volume</x:v>
      </x:c>
      <x:c r="B14" s="28" t="n">
        <x:v>95</x:v>
      </x:c>
      <x:c r="C14" s="28" t="str">
        <x:v>Manage within SLA</x:v>
      </x:c>
      <x:c r="D14" s="30" t="str">
        <x:v>work orders per month</x:v>
      </x:c>
    </x:row>
    <x:row r="15">
      <x:c r="A15" s="31" t="str">
        <x:v>Average First Response Time</x:v>
      </x:c>
      <x:c r="B15" s="32" t="n">
        <x:v>11.4</x:v>
      </x:c>
      <x:c r="C15" s="32" t="n">
        <x:v>2</x:v>
      </x:c>
      <x:c r="D15" s="34" t="str">
        <x:v>hours; target uses business hours</x:v>
      </x:c>
    </x:row>
    <x:row r="16">
      <x:c r="A16" s="31" t="str">
        <x:v>Average Completion Time</x:v>
      </x:c>
      <x:c r="B16" s="32" t="n">
        <x:v>5.2</x:v>
      </x:c>
      <x:c r="C16" s="32" t="n">
        <x:v>3</x:v>
      </x:c>
      <x:c r="D16" s="34" t="str">
        <x:v>calendar-day baseline; business-day target</x:v>
      </x:c>
    </x:row>
    <x:row r="17">
      <x:c r="A17" s="31" t="str">
        <x:v>Open Work Order Backlog</x:v>
      </x:c>
      <x:c r="B17" s="32" t="n">
        <x:v>46</x:v>
      </x:c>
      <x:c r="C17" s="32" t="n">
        <x:v>20</x:v>
      </x:c>
      <x:c r="D17" s="34" t="str">
        <x:v>open work orders or fewer</x:v>
      </x:c>
    </x:row>
    <x:row r="18">
      <x:c r="A18" s="31" t="str">
        <x:v>Emergency On-Site ≤30 Minutes</x:v>
      </x:c>
      <x:c r="B18" s="48" t="n">
        <x:v>0.68</x:v>
      </x:c>
      <x:c r="C18" s="48" t="n">
        <x:v>0.95</x:v>
      </x:c>
      <x:c r="D18" s="34" t="str">
        <x:v>percent or higher</x:v>
      </x:c>
    </x:row>
    <x:row r="19">
      <x:c r="A19" s="31" t="str">
        <x:v>Resident Satisfaction</x:v>
      </x:c>
      <x:c r="B19" s="32" t="n">
        <x:v>3.2</x:v>
      </x:c>
      <x:c r="C19" s="32" t="n">
        <x:v>4.3</x:v>
      </x:c>
      <x:c r="D19" s="34" t="str">
        <x:v>out of 5</x:v>
      </x:c>
    </x:row>
    <x:row r="20">
      <x:c r="A20" s="31" t="str">
        <x:v>Vendor On-Time Completion</x:v>
      </x:c>
      <x:c r="B20" s="48" t="n">
        <x:v>0.72</x:v>
      </x:c>
      <x:c r="C20" s="48" t="n">
        <x:v>0.9</x:v>
      </x:c>
      <x:c r="D20" s="34" t="str">
        <x:v>percent or higher</x:v>
      </x:c>
    </x:row>
    <x:row r="21">
      <x:c r="A21" s="31" t="str">
        <x:v>Preventive Maintenance Completion</x:v>
      </x:c>
      <x:c r="B21" s="48" t="str">
        <x:v>Not consistently tracked</x:v>
      </x:c>
      <x:c r="C21" s="48" t="n">
        <x:v>0.95</x:v>
      </x:c>
      <x:c r="D21" s="34" t="str">
        <x:v>percent or higher</x:v>
      </x:c>
    </x:row>
    <x:row r="22">
      <x:c r="A22" s="31" t="str">
        <x:v>First-Time Fix Rate</x:v>
      </x:c>
      <x:c r="B22" s="48" t="str">
        <x:v>Not consistently tracked</x:v>
      </x:c>
      <x:c r="C22" s="48" t="n">
        <x:v>0.85</x:v>
      </x:c>
      <x:c r="D22" s="34" t="str">
        <x:v>percent or higher</x:v>
      </x:c>
    </x:row>
    <x:row r="23">
      <x:c r="A23" s="35" t="str">
        <x:v>Overall SLA Compliance</x:v>
      </x:c>
      <x:c r="B23" s="49" t="str">
        <x:v>Not consistently tracked</x:v>
      </x:c>
      <x:c r="C23" s="49" t="n">
        <x:v>0.9</x:v>
      </x:c>
      <x:c r="D23" s="38" t="str">
        <x:v>percent or higher</x:v>
      </x:c>
    </x:row>
    <x:row r="25">
      <x:c r="A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B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C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D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E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F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G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H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I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J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K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L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M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N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O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P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Q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R25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</x:row>
    <x:row r="26">
      <x:c r="A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B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C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D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E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F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G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H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I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J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K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L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M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N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O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P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Q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R26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</x:row>
    <x:row r="27">
      <x:c r="A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B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C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D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E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F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G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H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I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J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K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L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M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N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O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P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Q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  <x:c r="R27" s="63" t="str">
        <x:v>Portfolio note: all resident, technician, vendor, property, baseline, and target data are fictional and illustrative. Business-day targets are represented by simple hour equivalents in this demonstration workbook; a production system should apply the property’s actual business calendar and holiday rules.</x:v>
      </x:c>
    </x:row>
  </x:sheetData>
  <x:mergeCells>
    <x:mergeCell ref="A1:R1"/>
    <x:mergeCell ref="A2:R2"/>
    <x:mergeCell ref="A25:R27"/>
  </x:mergeCells>
  <x:pageMargins left="0.7" right="0.7" top="0.75" bottom="0.75" header="0.3" footer="0.3"/>
</x:worksheet>
</file>